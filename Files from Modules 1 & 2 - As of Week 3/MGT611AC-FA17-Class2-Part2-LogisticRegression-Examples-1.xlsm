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0797571\Google Drive\Quantitative Methods\"/>
    </mc:Choice>
  </mc:AlternateContent>
  <bookViews>
    <workbookView xWindow="0" yWindow="0" windowWidth="28800" windowHeight="12330" firstSheet="5" activeTab="11"/>
  </bookViews>
  <sheets>
    <sheet name="RawData" sheetId="9" r:id="rId1"/>
    <sheet name="Linear Regression" sheetId="7" r:id="rId2"/>
    <sheet name="Logistic Regression" sheetId="8" r:id="rId3"/>
    <sheet name="LinReg" sheetId="13" r:id="rId4"/>
    <sheet name="Example" sheetId="19" r:id="rId5"/>
    <sheet name="Example-Solver" sheetId="14" r:id="rId6"/>
    <sheet name="Example-Base" sheetId="22" r:id="rId7"/>
    <sheet name="InClass No Relationship Case" sheetId="26" r:id="rId8"/>
    <sheet name="InClass" sheetId="21" r:id="rId9"/>
    <sheet name="InClass-Solver" sheetId="15" r:id="rId10"/>
    <sheet name="InClass2-Solver" sheetId="16" r:id="rId11"/>
    <sheet name="InClass3-Solver" sheetId="17" r:id="rId12"/>
    <sheet name="InClass-Solver-Null" sheetId="23" r:id="rId13"/>
    <sheet name="InClass3-Solver-NoW" sheetId="24" r:id="rId14"/>
    <sheet name="InClass3-Solver-NoC" sheetId="25" r:id="rId15"/>
  </sheets>
  <definedNames>
    <definedName name="solver_adj" localSheetId="4" hidden="1">Example!$C$2:$C$3</definedName>
    <definedName name="solver_adj" localSheetId="6" hidden="1">'Example-Base'!$C$2</definedName>
    <definedName name="solver_adj" localSheetId="5" hidden="1">'Example-Solver'!$C$2:$C$3</definedName>
    <definedName name="solver_adj" localSheetId="8" hidden="1">InClass!$C$2:$C$3</definedName>
    <definedName name="solver_adj" localSheetId="7" hidden="1">'InClass No Relationship Case'!$D$2</definedName>
    <definedName name="solver_adj" localSheetId="10" hidden="1">'InClass2-Solver'!$C$2:$C$4</definedName>
    <definedName name="solver_adj" localSheetId="11" hidden="1">'InClass3-Solver'!$C$2:$C$5</definedName>
    <definedName name="solver_adj" localSheetId="14" hidden="1">'InClass3-Solver-NoC'!$C$2,'InClass3-Solver-NoC'!$C$4:$C$5</definedName>
    <definedName name="solver_adj" localSheetId="13" hidden="1">'InClass3-Solver-NoW'!$C$2:$C$5</definedName>
    <definedName name="solver_adj" localSheetId="9" hidden="1">'InClass-Solver'!$C$2:$C$3</definedName>
    <definedName name="solver_adj" localSheetId="12" hidden="1">'InClass-Solver-Null'!$C$2</definedName>
    <definedName name="solver_cvg" localSheetId="4" hidden="1">0.0001</definedName>
    <definedName name="solver_cvg" localSheetId="6" hidden="1">0.0001</definedName>
    <definedName name="solver_cvg" localSheetId="5" hidden="1">0.0001</definedName>
    <definedName name="solver_cvg" localSheetId="8" hidden="1">0.0001</definedName>
    <definedName name="solver_cvg" localSheetId="7" hidden="1">0.0001</definedName>
    <definedName name="solver_cvg" localSheetId="10" hidden="1">0.0001</definedName>
    <definedName name="solver_cvg" localSheetId="11" hidden="1">0.0001</definedName>
    <definedName name="solver_cvg" localSheetId="14" hidden="1">0.0001</definedName>
    <definedName name="solver_cvg" localSheetId="13" hidden="1">0.0001</definedName>
    <definedName name="solver_cvg" localSheetId="9" hidden="1">0.0001</definedName>
    <definedName name="solver_cvg" localSheetId="12" hidden="1">0.0001</definedName>
    <definedName name="solver_drv" localSheetId="4" hidden="1">2</definedName>
    <definedName name="solver_drv" localSheetId="6" hidden="1">2</definedName>
    <definedName name="solver_drv" localSheetId="5" hidden="1">2</definedName>
    <definedName name="solver_drv" localSheetId="8" hidden="1">2</definedName>
    <definedName name="solver_drv" localSheetId="7" hidden="1">2</definedName>
    <definedName name="solver_drv" localSheetId="10" hidden="1">2</definedName>
    <definedName name="solver_drv" localSheetId="11" hidden="1">2</definedName>
    <definedName name="solver_drv" localSheetId="14" hidden="1">2</definedName>
    <definedName name="solver_drv" localSheetId="13" hidden="1">2</definedName>
    <definedName name="solver_drv" localSheetId="9" hidden="1">2</definedName>
    <definedName name="solver_drv" localSheetId="12" hidden="1">2</definedName>
    <definedName name="solver_eng" localSheetId="4" hidden="1">1</definedName>
    <definedName name="solver_eng" localSheetId="6" hidden="1">1</definedName>
    <definedName name="solver_eng" localSheetId="5" hidden="1">1</definedName>
    <definedName name="solver_eng" localSheetId="8" hidden="1">1</definedName>
    <definedName name="solver_eng" localSheetId="7" hidden="1">1</definedName>
    <definedName name="solver_eng" localSheetId="10" hidden="1">1</definedName>
    <definedName name="solver_eng" localSheetId="11" hidden="1">1</definedName>
    <definedName name="solver_eng" localSheetId="14" hidden="1">1</definedName>
    <definedName name="solver_eng" localSheetId="13" hidden="1">1</definedName>
    <definedName name="solver_eng" localSheetId="9" hidden="1">1</definedName>
    <definedName name="solver_eng" localSheetId="12" hidden="1">1</definedName>
    <definedName name="solver_est" localSheetId="4" hidden="1">1</definedName>
    <definedName name="solver_est" localSheetId="6" hidden="1">1</definedName>
    <definedName name="solver_est" localSheetId="5" hidden="1">1</definedName>
    <definedName name="solver_est" localSheetId="8" hidden="1">1</definedName>
    <definedName name="solver_est" localSheetId="7" hidden="1">1</definedName>
    <definedName name="solver_est" localSheetId="10" hidden="1">1</definedName>
    <definedName name="solver_est" localSheetId="11" hidden="1">1</definedName>
    <definedName name="solver_est" localSheetId="14" hidden="1">1</definedName>
    <definedName name="solver_est" localSheetId="13" hidden="1">1</definedName>
    <definedName name="solver_est" localSheetId="9" hidden="1">1</definedName>
    <definedName name="solver_est" localSheetId="12" hidden="1">1</definedName>
    <definedName name="solver_itr" localSheetId="4" hidden="1">2147483647</definedName>
    <definedName name="solver_itr" localSheetId="6" hidden="1">2147483647</definedName>
    <definedName name="solver_itr" localSheetId="5" hidden="1">2147483647</definedName>
    <definedName name="solver_itr" localSheetId="8" hidden="1">2147483647</definedName>
    <definedName name="solver_itr" localSheetId="7" hidden="1">2147483647</definedName>
    <definedName name="solver_itr" localSheetId="10" hidden="1">2147483647</definedName>
    <definedName name="solver_itr" localSheetId="11" hidden="1">2147483647</definedName>
    <definedName name="solver_itr" localSheetId="14" hidden="1">2147483647</definedName>
    <definedName name="solver_itr" localSheetId="13" hidden="1">2147483647</definedName>
    <definedName name="solver_itr" localSheetId="9" hidden="1">2147483647</definedName>
    <definedName name="solver_itr" localSheetId="12" hidden="1">2147483647</definedName>
    <definedName name="solver_mip" localSheetId="4" hidden="1">2147483647</definedName>
    <definedName name="solver_mip" localSheetId="6" hidden="1">2147483647</definedName>
    <definedName name="solver_mip" localSheetId="5" hidden="1">2147483647</definedName>
    <definedName name="solver_mip" localSheetId="8" hidden="1">2147483647</definedName>
    <definedName name="solver_mip" localSheetId="7" hidden="1">2147483647</definedName>
    <definedName name="solver_mip" localSheetId="10" hidden="1">2147483647</definedName>
    <definedName name="solver_mip" localSheetId="11" hidden="1">2147483647</definedName>
    <definedName name="solver_mip" localSheetId="14" hidden="1">2147483647</definedName>
    <definedName name="solver_mip" localSheetId="13" hidden="1">2147483647</definedName>
    <definedName name="solver_mip" localSheetId="9" hidden="1">2147483647</definedName>
    <definedName name="solver_mip" localSheetId="12" hidden="1">2147483647</definedName>
    <definedName name="solver_mni" localSheetId="4" hidden="1">30</definedName>
    <definedName name="solver_mni" localSheetId="6" hidden="1">30</definedName>
    <definedName name="solver_mni" localSheetId="5" hidden="1">30</definedName>
    <definedName name="solver_mni" localSheetId="8" hidden="1">30</definedName>
    <definedName name="solver_mni" localSheetId="7" hidden="1">30</definedName>
    <definedName name="solver_mni" localSheetId="10" hidden="1">30</definedName>
    <definedName name="solver_mni" localSheetId="11" hidden="1">30</definedName>
    <definedName name="solver_mni" localSheetId="14" hidden="1">30</definedName>
    <definedName name="solver_mni" localSheetId="13" hidden="1">30</definedName>
    <definedName name="solver_mni" localSheetId="9" hidden="1">30</definedName>
    <definedName name="solver_mni" localSheetId="12" hidden="1">30</definedName>
    <definedName name="solver_mrt" localSheetId="4" hidden="1">0.075</definedName>
    <definedName name="solver_mrt" localSheetId="6" hidden="1">0.075</definedName>
    <definedName name="solver_mrt" localSheetId="5" hidden="1">0.075</definedName>
    <definedName name="solver_mrt" localSheetId="8" hidden="1">0.075</definedName>
    <definedName name="solver_mrt" localSheetId="7" hidden="1">0.075</definedName>
    <definedName name="solver_mrt" localSheetId="10" hidden="1">0.075</definedName>
    <definedName name="solver_mrt" localSheetId="11" hidden="1">0.075</definedName>
    <definedName name="solver_mrt" localSheetId="14" hidden="1">0.075</definedName>
    <definedName name="solver_mrt" localSheetId="13" hidden="1">0.075</definedName>
    <definedName name="solver_mrt" localSheetId="9" hidden="1">0.075</definedName>
    <definedName name="solver_mrt" localSheetId="12" hidden="1">0.075</definedName>
    <definedName name="solver_msl" localSheetId="4" hidden="1">2</definedName>
    <definedName name="solver_msl" localSheetId="6" hidden="1">2</definedName>
    <definedName name="solver_msl" localSheetId="5" hidden="1">2</definedName>
    <definedName name="solver_msl" localSheetId="8" hidden="1">2</definedName>
    <definedName name="solver_msl" localSheetId="7" hidden="1">2</definedName>
    <definedName name="solver_msl" localSheetId="10" hidden="1">2</definedName>
    <definedName name="solver_msl" localSheetId="11" hidden="1">2</definedName>
    <definedName name="solver_msl" localSheetId="14" hidden="1">2</definedName>
    <definedName name="solver_msl" localSheetId="13" hidden="1">2</definedName>
    <definedName name="solver_msl" localSheetId="9" hidden="1">2</definedName>
    <definedName name="solver_msl" localSheetId="12" hidden="1">2</definedName>
    <definedName name="solver_neg" localSheetId="4" hidden="1">2</definedName>
    <definedName name="solver_neg" localSheetId="6" hidden="1">2</definedName>
    <definedName name="solver_neg" localSheetId="5" hidden="1">2</definedName>
    <definedName name="solver_neg" localSheetId="8" hidden="1">2</definedName>
    <definedName name="solver_neg" localSheetId="7" hidden="1">2</definedName>
    <definedName name="solver_neg" localSheetId="10" hidden="1">2</definedName>
    <definedName name="solver_neg" localSheetId="11" hidden="1">2</definedName>
    <definedName name="solver_neg" localSheetId="14" hidden="1">2</definedName>
    <definedName name="solver_neg" localSheetId="13" hidden="1">2</definedName>
    <definedName name="solver_neg" localSheetId="9" hidden="1">2</definedName>
    <definedName name="solver_neg" localSheetId="12" hidden="1">2</definedName>
    <definedName name="solver_nod" localSheetId="4" hidden="1">2147483647</definedName>
    <definedName name="solver_nod" localSheetId="6" hidden="1">2147483647</definedName>
    <definedName name="solver_nod" localSheetId="5" hidden="1">2147483647</definedName>
    <definedName name="solver_nod" localSheetId="8" hidden="1">2147483647</definedName>
    <definedName name="solver_nod" localSheetId="7" hidden="1">2147483647</definedName>
    <definedName name="solver_nod" localSheetId="10" hidden="1">2147483647</definedName>
    <definedName name="solver_nod" localSheetId="11" hidden="1">2147483647</definedName>
    <definedName name="solver_nod" localSheetId="14" hidden="1">2147483647</definedName>
    <definedName name="solver_nod" localSheetId="13" hidden="1">2147483647</definedName>
    <definedName name="solver_nod" localSheetId="9" hidden="1">2147483647</definedName>
    <definedName name="solver_nod" localSheetId="12" hidden="1">2147483647</definedName>
    <definedName name="solver_num" localSheetId="4" hidden="1">0</definedName>
    <definedName name="solver_num" localSheetId="6" hidden="1">0</definedName>
    <definedName name="solver_num" localSheetId="5" hidden="1">0</definedName>
    <definedName name="solver_num" localSheetId="8" hidden="1">0</definedName>
    <definedName name="solver_num" localSheetId="7" hidden="1">0</definedName>
    <definedName name="solver_num" localSheetId="10" hidden="1">0</definedName>
    <definedName name="solver_num" localSheetId="11" hidden="1">0</definedName>
    <definedName name="solver_num" localSheetId="14" hidden="1">0</definedName>
    <definedName name="solver_num" localSheetId="13" hidden="1">0</definedName>
    <definedName name="solver_num" localSheetId="9" hidden="1">0</definedName>
    <definedName name="solver_num" localSheetId="12" hidden="1">0</definedName>
    <definedName name="solver_nwt" localSheetId="4" hidden="1">1</definedName>
    <definedName name="solver_nwt" localSheetId="6" hidden="1">1</definedName>
    <definedName name="solver_nwt" localSheetId="5" hidden="1">1</definedName>
    <definedName name="solver_nwt" localSheetId="8" hidden="1">1</definedName>
    <definedName name="solver_nwt" localSheetId="7" hidden="1">1</definedName>
    <definedName name="solver_nwt" localSheetId="10" hidden="1">1</definedName>
    <definedName name="solver_nwt" localSheetId="11" hidden="1">1</definedName>
    <definedName name="solver_nwt" localSheetId="14" hidden="1">1</definedName>
    <definedName name="solver_nwt" localSheetId="13" hidden="1">1</definedName>
    <definedName name="solver_nwt" localSheetId="9" hidden="1">1</definedName>
    <definedName name="solver_nwt" localSheetId="12" hidden="1">1</definedName>
    <definedName name="solver_opt" localSheetId="4" hidden="1">Example!$F$2</definedName>
    <definedName name="solver_opt" localSheetId="6" hidden="1">'Example-Base'!$E$3</definedName>
    <definedName name="solver_opt" localSheetId="5" hidden="1">'Example-Solver'!$E$3</definedName>
    <definedName name="solver_opt" localSheetId="8" hidden="1">InClass!$G$3</definedName>
    <definedName name="solver_opt" localSheetId="7" hidden="1">'InClass No Relationship Case'!$G$3</definedName>
    <definedName name="solver_opt" localSheetId="10" hidden="1">'InClass2-Solver'!$E$3</definedName>
    <definedName name="solver_opt" localSheetId="11" hidden="1">'InClass3-Solver'!$E$3</definedName>
    <definedName name="solver_opt" localSheetId="14" hidden="1">'InClass3-Solver-NoC'!$E$3</definedName>
    <definedName name="solver_opt" localSheetId="13" hidden="1">'InClass3-Solver-NoW'!$E$3</definedName>
    <definedName name="solver_opt" localSheetId="9" hidden="1">'InClass-Solver'!$E$3</definedName>
    <definedName name="solver_opt" localSheetId="12" hidden="1">'InClass-Solver-Null'!$E$3</definedName>
    <definedName name="solver_pre" localSheetId="4" hidden="1">0.000001</definedName>
    <definedName name="solver_pre" localSheetId="6" hidden="1">0.000001</definedName>
    <definedName name="solver_pre" localSheetId="5" hidden="1">0.000001</definedName>
    <definedName name="solver_pre" localSheetId="8" hidden="1">0.000001</definedName>
    <definedName name="solver_pre" localSheetId="7" hidden="1">0.000001</definedName>
    <definedName name="solver_pre" localSheetId="10" hidden="1">0.000001</definedName>
    <definedName name="solver_pre" localSheetId="11" hidden="1">0.000001</definedName>
    <definedName name="solver_pre" localSheetId="14" hidden="1">0.000001</definedName>
    <definedName name="solver_pre" localSheetId="13" hidden="1">0.000001</definedName>
    <definedName name="solver_pre" localSheetId="9" hidden="1">0.000001</definedName>
    <definedName name="solver_pre" localSheetId="12" hidden="1">0.000001</definedName>
    <definedName name="solver_rbv" localSheetId="4" hidden="1">2</definedName>
    <definedName name="solver_rbv" localSheetId="6" hidden="1">2</definedName>
    <definedName name="solver_rbv" localSheetId="5" hidden="1">2</definedName>
    <definedName name="solver_rbv" localSheetId="8" hidden="1">2</definedName>
    <definedName name="solver_rbv" localSheetId="7" hidden="1">2</definedName>
    <definedName name="solver_rbv" localSheetId="10" hidden="1">2</definedName>
    <definedName name="solver_rbv" localSheetId="11" hidden="1">2</definedName>
    <definedName name="solver_rbv" localSheetId="14" hidden="1">2</definedName>
    <definedName name="solver_rbv" localSheetId="13" hidden="1">2</definedName>
    <definedName name="solver_rbv" localSheetId="9" hidden="1">2</definedName>
    <definedName name="solver_rbv" localSheetId="12" hidden="1">2</definedName>
    <definedName name="solver_rlx" localSheetId="4" hidden="1">2</definedName>
    <definedName name="solver_rlx" localSheetId="6" hidden="1">2</definedName>
    <definedName name="solver_rlx" localSheetId="5" hidden="1">2</definedName>
    <definedName name="solver_rlx" localSheetId="8" hidden="1">2</definedName>
    <definedName name="solver_rlx" localSheetId="7" hidden="1">2</definedName>
    <definedName name="solver_rlx" localSheetId="10" hidden="1">2</definedName>
    <definedName name="solver_rlx" localSheetId="11" hidden="1">2</definedName>
    <definedName name="solver_rlx" localSheetId="14" hidden="1">2</definedName>
    <definedName name="solver_rlx" localSheetId="13" hidden="1">2</definedName>
    <definedName name="solver_rlx" localSheetId="9" hidden="1">2</definedName>
    <definedName name="solver_rlx" localSheetId="12" hidden="1">2</definedName>
    <definedName name="solver_rsd" localSheetId="4" hidden="1">0</definedName>
    <definedName name="solver_rsd" localSheetId="6" hidden="1">0</definedName>
    <definedName name="solver_rsd" localSheetId="5" hidden="1">0</definedName>
    <definedName name="solver_rsd" localSheetId="8" hidden="1">0</definedName>
    <definedName name="solver_rsd" localSheetId="7" hidden="1">0</definedName>
    <definedName name="solver_rsd" localSheetId="10" hidden="1">0</definedName>
    <definedName name="solver_rsd" localSheetId="11" hidden="1">0</definedName>
    <definedName name="solver_rsd" localSheetId="14" hidden="1">0</definedName>
    <definedName name="solver_rsd" localSheetId="13" hidden="1">0</definedName>
    <definedName name="solver_rsd" localSheetId="9" hidden="1">0</definedName>
    <definedName name="solver_rsd" localSheetId="12" hidden="1">0</definedName>
    <definedName name="solver_scl" localSheetId="4" hidden="1">2</definedName>
    <definedName name="solver_scl" localSheetId="6" hidden="1">2</definedName>
    <definedName name="solver_scl" localSheetId="5" hidden="1">2</definedName>
    <definedName name="solver_scl" localSheetId="8" hidden="1">2</definedName>
    <definedName name="solver_scl" localSheetId="7" hidden="1">2</definedName>
    <definedName name="solver_scl" localSheetId="10" hidden="1">2</definedName>
    <definedName name="solver_scl" localSheetId="11" hidden="1">2</definedName>
    <definedName name="solver_scl" localSheetId="14" hidden="1">2</definedName>
    <definedName name="solver_scl" localSheetId="13" hidden="1">2</definedName>
    <definedName name="solver_scl" localSheetId="9" hidden="1">2</definedName>
    <definedName name="solver_scl" localSheetId="12" hidden="1">2</definedName>
    <definedName name="solver_sho" localSheetId="4" hidden="1">2</definedName>
    <definedName name="solver_sho" localSheetId="6" hidden="1">2</definedName>
    <definedName name="solver_sho" localSheetId="5" hidden="1">2</definedName>
    <definedName name="solver_sho" localSheetId="8" hidden="1">2</definedName>
    <definedName name="solver_sho" localSheetId="7" hidden="1">2</definedName>
    <definedName name="solver_sho" localSheetId="10" hidden="1">2</definedName>
    <definedName name="solver_sho" localSheetId="11" hidden="1">2</definedName>
    <definedName name="solver_sho" localSheetId="14" hidden="1">2</definedName>
    <definedName name="solver_sho" localSheetId="13" hidden="1">2</definedName>
    <definedName name="solver_sho" localSheetId="9" hidden="1">2</definedName>
    <definedName name="solver_sho" localSheetId="12" hidden="1">2</definedName>
    <definedName name="solver_ssz" localSheetId="4" hidden="1">100</definedName>
    <definedName name="solver_ssz" localSheetId="6" hidden="1">100</definedName>
    <definedName name="solver_ssz" localSheetId="5" hidden="1">100</definedName>
    <definedName name="solver_ssz" localSheetId="8" hidden="1">100</definedName>
    <definedName name="solver_ssz" localSheetId="7" hidden="1">100</definedName>
    <definedName name="solver_ssz" localSheetId="10" hidden="1">100</definedName>
    <definedName name="solver_ssz" localSheetId="11" hidden="1">100</definedName>
    <definedName name="solver_ssz" localSheetId="14" hidden="1">100</definedName>
    <definedName name="solver_ssz" localSheetId="13" hidden="1">100</definedName>
    <definedName name="solver_ssz" localSheetId="9" hidden="1">100</definedName>
    <definedName name="solver_ssz" localSheetId="12" hidden="1">100</definedName>
    <definedName name="solver_tim" localSheetId="4" hidden="1">2147483647</definedName>
    <definedName name="solver_tim" localSheetId="6" hidden="1">2147483647</definedName>
    <definedName name="solver_tim" localSheetId="5" hidden="1">2147483647</definedName>
    <definedName name="solver_tim" localSheetId="8" hidden="1">2147483647</definedName>
    <definedName name="solver_tim" localSheetId="7" hidden="1">2147483647</definedName>
    <definedName name="solver_tim" localSheetId="10" hidden="1">2147483647</definedName>
    <definedName name="solver_tim" localSheetId="11" hidden="1">2147483647</definedName>
    <definedName name="solver_tim" localSheetId="14" hidden="1">2147483647</definedName>
    <definedName name="solver_tim" localSheetId="13" hidden="1">2147483647</definedName>
    <definedName name="solver_tim" localSheetId="9" hidden="1">2147483647</definedName>
    <definedName name="solver_tim" localSheetId="12" hidden="1">2147483647</definedName>
    <definedName name="solver_tol" localSheetId="4" hidden="1">0.01</definedName>
    <definedName name="solver_tol" localSheetId="6" hidden="1">0.01</definedName>
    <definedName name="solver_tol" localSheetId="5" hidden="1">0.01</definedName>
    <definedName name="solver_tol" localSheetId="8" hidden="1">0.01</definedName>
    <definedName name="solver_tol" localSheetId="7" hidden="1">0.01</definedName>
    <definedName name="solver_tol" localSheetId="10" hidden="1">0.01</definedName>
    <definedName name="solver_tol" localSheetId="11" hidden="1">0.01</definedName>
    <definedName name="solver_tol" localSheetId="14" hidden="1">0.01</definedName>
    <definedName name="solver_tol" localSheetId="13" hidden="1">0.01</definedName>
    <definedName name="solver_tol" localSheetId="9" hidden="1">0.01</definedName>
    <definedName name="solver_tol" localSheetId="12" hidden="1">0.01</definedName>
    <definedName name="solver_typ" localSheetId="4" hidden="1">1</definedName>
    <definedName name="solver_typ" localSheetId="6" hidden="1">1</definedName>
    <definedName name="solver_typ" localSheetId="5" hidden="1">1</definedName>
    <definedName name="solver_typ" localSheetId="8" hidden="1">1</definedName>
    <definedName name="solver_typ" localSheetId="7" hidden="1">1</definedName>
    <definedName name="solver_typ" localSheetId="10" hidden="1">1</definedName>
    <definedName name="solver_typ" localSheetId="11" hidden="1">1</definedName>
    <definedName name="solver_typ" localSheetId="14" hidden="1">1</definedName>
    <definedName name="solver_typ" localSheetId="13" hidden="1">1</definedName>
    <definedName name="solver_typ" localSheetId="9" hidden="1">1</definedName>
    <definedName name="solver_typ" localSheetId="12" hidden="1">1</definedName>
    <definedName name="solver_val" localSheetId="4" hidden="1">0</definedName>
    <definedName name="solver_val" localSheetId="6" hidden="1">0</definedName>
    <definedName name="solver_val" localSheetId="5" hidden="1">0</definedName>
    <definedName name="solver_val" localSheetId="8" hidden="1">0</definedName>
    <definedName name="solver_val" localSheetId="7" hidden="1">0</definedName>
    <definedName name="solver_val" localSheetId="10" hidden="1">0</definedName>
    <definedName name="solver_val" localSheetId="11" hidden="1">0</definedName>
    <definedName name="solver_val" localSheetId="14" hidden="1">0</definedName>
    <definedName name="solver_val" localSheetId="13" hidden="1">0</definedName>
    <definedName name="solver_val" localSheetId="9" hidden="1">0</definedName>
    <definedName name="solver_val" localSheetId="12" hidden="1">0</definedName>
    <definedName name="solver_ver" localSheetId="4" hidden="1">3</definedName>
    <definedName name="solver_ver" localSheetId="6" hidden="1">3</definedName>
    <definedName name="solver_ver" localSheetId="5" hidden="1">3</definedName>
    <definedName name="solver_ver" localSheetId="8" hidden="1">3</definedName>
    <definedName name="solver_ver" localSheetId="7" hidden="1">3</definedName>
    <definedName name="solver_ver" localSheetId="10" hidden="1">3</definedName>
    <definedName name="solver_ver" localSheetId="11" hidden="1">3</definedName>
    <definedName name="solver_ver" localSheetId="14" hidden="1">3</definedName>
    <definedName name="solver_ver" localSheetId="13" hidden="1">3</definedName>
    <definedName name="solver_ver" localSheetId="9" hidden="1">3</definedName>
    <definedName name="solver_ver" localSheetId="1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7" l="1"/>
  <c r="I5" i="21"/>
  <c r="G39" i="26"/>
  <c r="H39" i="26" s="1"/>
  <c r="F39" i="26"/>
  <c r="G38" i="26"/>
  <c r="H38" i="26" s="1"/>
  <c r="F38" i="26"/>
  <c r="G37" i="26"/>
  <c r="F37" i="26"/>
  <c r="G36" i="26"/>
  <c r="F36" i="26"/>
  <c r="H35" i="26"/>
  <c r="G35" i="26"/>
  <c r="F35" i="26"/>
  <c r="G34" i="26"/>
  <c r="H34" i="26" s="1"/>
  <c r="F34" i="26"/>
  <c r="G33" i="26"/>
  <c r="F33" i="26"/>
  <c r="H33" i="26" s="1"/>
  <c r="G32" i="26"/>
  <c r="F32" i="26"/>
  <c r="H32" i="26" s="1"/>
  <c r="G31" i="26"/>
  <c r="H31" i="26" s="1"/>
  <c r="F31" i="26"/>
  <c r="G30" i="26"/>
  <c r="H30" i="26" s="1"/>
  <c r="F30" i="26"/>
  <c r="G29" i="26"/>
  <c r="F29" i="26"/>
  <c r="G28" i="26"/>
  <c r="F28" i="26"/>
  <c r="H27" i="26"/>
  <c r="G27" i="26"/>
  <c r="F27" i="26"/>
  <c r="G26" i="26"/>
  <c r="H26" i="26" s="1"/>
  <c r="F26" i="26"/>
  <c r="G25" i="26"/>
  <c r="F25" i="26"/>
  <c r="H25" i="26" s="1"/>
  <c r="G24" i="26"/>
  <c r="F24" i="26"/>
  <c r="H24" i="26" s="1"/>
  <c r="G23" i="26"/>
  <c r="H23" i="26" s="1"/>
  <c r="F23" i="26"/>
  <c r="G22" i="26"/>
  <c r="H22" i="26" s="1"/>
  <c r="F22" i="26"/>
  <c r="G21" i="26"/>
  <c r="F21" i="26"/>
  <c r="G20" i="26"/>
  <c r="F20" i="26"/>
  <c r="H19" i="26"/>
  <c r="G19" i="26"/>
  <c r="F19" i="26"/>
  <c r="G18" i="26"/>
  <c r="H18" i="26" s="1"/>
  <c r="F18" i="26"/>
  <c r="M17" i="26"/>
  <c r="G17" i="26"/>
  <c r="H17" i="26" s="1"/>
  <c r="F17" i="26"/>
  <c r="M16" i="26"/>
  <c r="G16" i="26"/>
  <c r="H16" i="26" s="1"/>
  <c r="F16" i="26"/>
  <c r="M15" i="26"/>
  <c r="G15" i="26"/>
  <c r="H15" i="26" s="1"/>
  <c r="F15" i="26"/>
  <c r="M14" i="26"/>
  <c r="G14" i="26"/>
  <c r="H14" i="26" s="1"/>
  <c r="F14" i="26"/>
  <c r="M13" i="26"/>
  <c r="G13" i="26"/>
  <c r="H13" i="26" s="1"/>
  <c r="F13" i="26"/>
  <c r="M12" i="26"/>
  <c r="G12" i="26"/>
  <c r="H12" i="26" s="1"/>
  <c r="F12" i="26"/>
  <c r="M11" i="26"/>
  <c r="G11" i="26"/>
  <c r="H11" i="26" s="1"/>
  <c r="F11" i="26"/>
  <c r="M10" i="26"/>
  <c r="G10" i="26"/>
  <c r="H10" i="26" s="1"/>
  <c r="F10" i="26"/>
  <c r="M9" i="26"/>
  <c r="D3" i="26"/>
  <c r="M9" i="21"/>
  <c r="M10" i="21"/>
  <c r="M11" i="21"/>
  <c r="M12" i="21"/>
  <c r="M14" i="21"/>
  <c r="M15" i="21"/>
  <c r="M16" i="21"/>
  <c r="M17" i="21"/>
  <c r="M13" i="21"/>
  <c r="D3" i="21"/>
  <c r="D2" i="21"/>
  <c r="G11" i="21"/>
  <c r="H11" i="21" s="1"/>
  <c r="G12" i="21"/>
  <c r="H12" i="21" s="1"/>
  <c r="G13" i="21"/>
  <c r="H13" i="21" s="1"/>
  <c r="G14" i="21"/>
  <c r="H14" i="21" s="1"/>
  <c r="G15" i="21"/>
  <c r="H15" i="21" s="1"/>
  <c r="G16" i="21"/>
  <c r="H16" i="21" s="1"/>
  <c r="G17" i="21"/>
  <c r="H17" i="21" s="1"/>
  <c r="G18" i="21"/>
  <c r="H18" i="21" s="1"/>
  <c r="G19" i="21"/>
  <c r="H19" i="21" s="1"/>
  <c r="G20" i="21"/>
  <c r="H20" i="21" s="1"/>
  <c r="G21" i="21"/>
  <c r="H21" i="21" s="1"/>
  <c r="G22" i="21"/>
  <c r="H22" i="21" s="1"/>
  <c r="G23" i="21"/>
  <c r="H23" i="21" s="1"/>
  <c r="G24" i="21"/>
  <c r="H24" i="21" s="1"/>
  <c r="G25" i="21"/>
  <c r="H25" i="21" s="1"/>
  <c r="G26" i="21"/>
  <c r="H26" i="21" s="1"/>
  <c r="G27" i="21"/>
  <c r="H27" i="21" s="1"/>
  <c r="G28" i="21"/>
  <c r="H28" i="21" s="1"/>
  <c r="G29" i="21"/>
  <c r="H29" i="21" s="1"/>
  <c r="G30" i="21"/>
  <c r="H30" i="21" s="1"/>
  <c r="G31" i="21"/>
  <c r="H31" i="21" s="1"/>
  <c r="G32" i="21"/>
  <c r="H32" i="21" s="1"/>
  <c r="G33" i="21"/>
  <c r="H33" i="21" s="1"/>
  <c r="G34" i="21"/>
  <c r="H34" i="21" s="1"/>
  <c r="G35" i="21"/>
  <c r="H35" i="21" s="1"/>
  <c r="G36" i="21"/>
  <c r="H36" i="21" s="1"/>
  <c r="G37" i="21"/>
  <c r="H37" i="21" s="1"/>
  <c r="G38" i="21"/>
  <c r="H38" i="21" s="1"/>
  <c r="G39" i="21"/>
  <c r="H39" i="21" s="1"/>
  <c r="G10" i="21"/>
  <c r="H10" i="21" s="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8" i="21"/>
  <c r="F39" i="21"/>
  <c r="F10" i="21"/>
  <c r="D7" i="19"/>
  <c r="E7" i="19" s="1"/>
  <c r="D8" i="19"/>
  <c r="E8" i="19" s="1"/>
  <c r="D9" i="19"/>
  <c r="E9" i="19" s="1"/>
  <c r="D10" i="19"/>
  <c r="E10" i="19" s="1"/>
  <c r="D11" i="19"/>
  <c r="E11" i="19" s="1"/>
  <c r="D12" i="19"/>
  <c r="E12" i="19" s="1"/>
  <c r="D13" i="19"/>
  <c r="E13" i="19" s="1"/>
  <c r="D14" i="19"/>
  <c r="E14" i="19" s="1"/>
  <c r="D15" i="19"/>
  <c r="E15" i="19" s="1"/>
  <c r="D16" i="19"/>
  <c r="E16" i="19" s="1"/>
  <c r="D17" i="19"/>
  <c r="E17" i="19" s="1"/>
  <c r="D18" i="19"/>
  <c r="E18" i="19" s="1"/>
  <c r="D19" i="19"/>
  <c r="E19" i="19" s="1"/>
  <c r="D20" i="19"/>
  <c r="E20" i="19" s="1"/>
  <c r="D21" i="19"/>
  <c r="E21" i="19" s="1"/>
  <c r="D22" i="19"/>
  <c r="E22" i="19" s="1"/>
  <c r="D23" i="19"/>
  <c r="E23" i="19" s="1"/>
  <c r="D24" i="19"/>
  <c r="E24" i="19" s="1"/>
  <c r="D25" i="19"/>
  <c r="E25" i="19" s="1"/>
  <c r="D26" i="19"/>
  <c r="E26" i="19" s="1"/>
  <c r="D27" i="19"/>
  <c r="E27" i="19" s="1"/>
  <c r="D28" i="19"/>
  <c r="E28" i="19" s="1"/>
  <c r="D29" i="19"/>
  <c r="E29" i="19" s="1"/>
  <c r="D30" i="19"/>
  <c r="E30" i="19" s="1"/>
  <c r="D31" i="19"/>
  <c r="E31" i="19" s="1"/>
  <c r="D32" i="19"/>
  <c r="E32" i="19" s="1"/>
  <c r="D33" i="19"/>
  <c r="E33" i="19" s="1"/>
  <c r="D34" i="19"/>
  <c r="E34" i="19" s="1"/>
  <c r="D35" i="19"/>
  <c r="E35" i="19" s="1"/>
  <c r="D36" i="19"/>
  <c r="E36" i="19" s="1"/>
  <c r="D6" i="19"/>
  <c r="E6" i="19" s="1"/>
  <c r="C4" i="14"/>
  <c r="H21" i="26" l="1"/>
  <c r="H28" i="26"/>
  <c r="H37" i="26"/>
  <c r="H20" i="26"/>
  <c r="G3" i="26" s="1"/>
  <c r="H29" i="26"/>
  <c r="H36" i="26"/>
  <c r="G3" i="21"/>
  <c r="E2" i="19"/>
  <c r="F2" i="19" s="1"/>
  <c r="L5" i="17"/>
  <c r="K7" i="17"/>
  <c r="L7" i="17" s="1"/>
  <c r="K6" i="17"/>
  <c r="L6" i="17" s="1"/>
  <c r="K5" i="17"/>
  <c r="G10" i="25"/>
  <c r="G11" i="25"/>
  <c r="G12" i="25"/>
  <c r="G13" i="25"/>
  <c r="H13" i="25" s="1"/>
  <c r="G14" i="25"/>
  <c r="G15" i="25"/>
  <c r="G16" i="25"/>
  <c r="G17" i="25"/>
  <c r="H17" i="25" s="1"/>
  <c r="G18" i="25"/>
  <c r="G19" i="25"/>
  <c r="G20" i="25"/>
  <c r="G21" i="25"/>
  <c r="H21" i="25" s="1"/>
  <c r="G22" i="25"/>
  <c r="G23" i="25"/>
  <c r="G24" i="25"/>
  <c r="G25" i="25"/>
  <c r="H25" i="25" s="1"/>
  <c r="G26" i="25"/>
  <c r="G27" i="25"/>
  <c r="G28" i="25"/>
  <c r="G29" i="25"/>
  <c r="H29" i="25" s="1"/>
  <c r="G30" i="25"/>
  <c r="G31" i="25"/>
  <c r="G32" i="25"/>
  <c r="G33" i="25"/>
  <c r="H33" i="25" s="1"/>
  <c r="G34" i="25"/>
  <c r="G35" i="25"/>
  <c r="G36" i="25"/>
  <c r="G37" i="25"/>
  <c r="H37" i="25" s="1"/>
  <c r="G38" i="25"/>
  <c r="G9" i="25"/>
  <c r="H9" i="25" s="1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H4" i="25"/>
  <c r="H3" i="25"/>
  <c r="H2" i="25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9" i="24"/>
  <c r="F38" i="24"/>
  <c r="F37" i="24"/>
  <c r="F36" i="24"/>
  <c r="F35" i="24"/>
  <c r="H35" i="24" s="1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H4" i="24"/>
  <c r="H3" i="24"/>
  <c r="H2" i="24"/>
  <c r="L3" i="16"/>
  <c r="L3" i="17"/>
  <c r="H5" i="17"/>
  <c r="H4" i="17"/>
  <c r="H3" i="17"/>
  <c r="H2" i="17"/>
  <c r="H4" i="16"/>
  <c r="H3" i="16"/>
  <c r="H2" i="16"/>
  <c r="H2" i="23"/>
  <c r="G37" i="23"/>
  <c r="H37" i="23" s="1"/>
  <c r="F37" i="23"/>
  <c r="G36" i="23"/>
  <c r="H36" i="23" s="1"/>
  <c r="F36" i="23"/>
  <c r="G35" i="23"/>
  <c r="F35" i="23"/>
  <c r="G34" i="23"/>
  <c r="F34" i="23"/>
  <c r="G33" i="23"/>
  <c r="H33" i="23" s="1"/>
  <c r="F33" i="23"/>
  <c r="G32" i="23"/>
  <c r="H32" i="23" s="1"/>
  <c r="F32" i="23"/>
  <c r="G31" i="23"/>
  <c r="F31" i="23"/>
  <c r="G30" i="23"/>
  <c r="F30" i="23"/>
  <c r="G29" i="23"/>
  <c r="H29" i="23" s="1"/>
  <c r="F29" i="23"/>
  <c r="G28" i="23"/>
  <c r="H28" i="23" s="1"/>
  <c r="F28" i="23"/>
  <c r="G27" i="23"/>
  <c r="F27" i="23"/>
  <c r="G26" i="23"/>
  <c r="F26" i="23"/>
  <c r="G25" i="23"/>
  <c r="H25" i="23" s="1"/>
  <c r="F25" i="23"/>
  <c r="G24" i="23"/>
  <c r="H24" i="23" s="1"/>
  <c r="F24" i="23"/>
  <c r="G23" i="23"/>
  <c r="H23" i="23" s="1"/>
  <c r="F23" i="23"/>
  <c r="G22" i="23"/>
  <c r="F22" i="23"/>
  <c r="G21" i="23"/>
  <c r="F21" i="23"/>
  <c r="G20" i="23"/>
  <c r="H20" i="23" s="1"/>
  <c r="F20" i="23"/>
  <c r="G19" i="23"/>
  <c r="H19" i="23" s="1"/>
  <c r="F19" i="23"/>
  <c r="G18" i="23"/>
  <c r="F18" i="23"/>
  <c r="G17" i="23"/>
  <c r="F17" i="23"/>
  <c r="G16" i="23"/>
  <c r="H16" i="23" s="1"/>
  <c r="F16" i="23"/>
  <c r="G15" i="23"/>
  <c r="H15" i="23" s="1"/>
  <c r="F15" i="23"/>
  <c r="G14" i="23"/>
  <c r="F14" i="23"/>
  <c r="G13" i="23"/>
  <c r="F13" i="23"/>
  <c r="G12" i="23"/>
  <c r="H12" i="23" s="1"/>
  <c r="F12" i="23"/>
  <c r="G11" i="23"/>
  <c r="H11" i="23" s="1"/>
  <c r="F11" i="23"/>
  <c r="G10" i="23"/>
  <c r="F10" i="23"/>
  <c r="G9" i="23"/>
  <c r="F9" i="23"/>
  <c r="G8" i="23"/>
  <c r="H8" i="23" s="1"/>
  <c r="F8" i="23"/>
  <c r="H14" i="25" l="1"/>
  <c r="H16" i="25"/>
  <c r="H34" i="25"/>
  <c r="H11" i="25"/>
  <c r="H18" i="25"/>
  <c r="H20" i="25"/>
  <c r="H30" i="25"/>
  <c r="H32" i="25"/>
  <c r="H36" i="25"/>
  <c r="H23" i="25"/>
  <c r="H27" i="25"/>
  <c r="H15" i="25"/>
  <c r="H22" i="25"/>
  <c r="H24" i="25"/>
  <c r="H31" i="25"/>
  <c r="H38" i="25"/>
  <c r="H10" i="25"/>
  <c r="H12" i="25"/>
  <c r="H19" i="25"/>
  <c r="H26" i="25"/>
  <c r="H28" i="25"/>
  <c r="H35" i="25"/>
  <c r="H28" i="24"/>
  <c r="H32" i="24"/>
  <c r="H36" i="24"/>
  <c r="H9" i="24"/>
  <c r="H13" i="24"/>
  <c r="H17" i="24"/>
  <c r="H21" i="24"/>
  <c r="H25" i="24"/>
  <c r="H10" i="24"/>
  <c r="H14" i="24"/>
  <c r="H22" i="24"/>
  <c r="H37" i="24"/>
  <c r="H12" i="24"/>
  <c r="H16" i="24"/>
  <c r="H20" i="24"/>
  <c r="H24" i="24"/>
  <c r="H26" i="24"/>
  <c r="H30" i="24"/>
  <c r="H29" i="24"/>
  <c r="H33" i="24"/>
  <c r="H15" i="24"/>
  <c r="H19" i="24"/>
  <c r="H23" i="24"/>
  <c r="H11" i="24"/>
  <c r="H18" i="24"/>
  <c r="H27" i="24"/>
  <c r="H34" i="24"/>
  <c r="H31" i="24"/>
  <c r="H38" i="24"/>
  <c r="H14" i="23"/>
  <c r="H21" i="23"/>
  <c r="H30" i="23"/>
  <c r="H22" i="23"/>
  <c r="H35" i="23"/>
  <c r="H10" i="23"/>
  <c r="H17" i="23"/>
  <c r="H27" i="23"/>
  <c r="H9" i="23"/>
  <c r="H18" i="23"/>
  <c r="H26" i="23"/>
  <c r="H31" i="23"/>
  <c r="H34" i="23"/>
  <c r="H13" i="23"/>
  <c r="D2" i="22"/>
  <c r="J3" i="14"/>
  <c r="K36" i="22"/>
  <c r="D36" i="22"/>
  <c r="E36" i="22" s="1"/>
  <c r="K35" i="22"/>
  <c r="D35" i="22"/>
  <c r="E35" i="22" s="1"/>
  <c r="K34" i="22"/>
  <c r="D34" i="22"/>
  <c r="E34" i="22" s="1"/>
  <c r="K33" i="22"/>
  <c r="E33" i="22"/>
  <c r="D33" i="22"/>
  <c r="K32" i="22"/>
  <c r="D32" i="22"/>
  <c r="E32" i="22" s="1"/>
  <c r="K31" i="22"/>
  <c r="D31" i="22"/>
  <c r="E31" i="22" s="1"/>
  <c r="K30" i="22"/>
  <c r="D30" i="22"/>
  <c r="E30" i="22" s="1"/>
  <c r="K29" i="22"/>
  <c r="D29" i="22"/>
  <c r="E29" i="22" s="1"/>
  <c r="K28" i="22"/>
  <c r="D28" i="22"/>
  <c r="E28" i="22" s="1"/>
  <c r="K27" i="22"/>
  <c r="D27" i="22"/>
  <c r="E27" i="22" s="1"/>
  <c r="K26" i="22"/>
  <c r="D26" i="22"/>
  <c r="E26" i="22" s="1"/>
  <c r="K25" i="22"/>
  <c r="D25" i="22"/>
  <c r="E25" i="22" s="1"/>
  <c r="K24" i="22"/>
  <c r="D24" i="22"/>
  <c r="E24" i="22" s="1"/>
  <c r="K23" i="22"/>
  <c r="D23" i="22"/>
  <c r="E23" i="22" s="1"/>
  <c r="K22" i="22"/>
  <c r="D22" i="22"/>
  <c r="E22" i="22" s="1"/>
  <c r="K21" i="22"/>
  <c r="D21" i="22"/>
  <c r="E21" i="22" s="1"/>
  <c r="K20" i="22"/>
  <c r="D20" i="22"/>
  <c r="E20" i="22" s="1"/>
  <c r="K19" i="22"/>
  <c r="D19" i="22"/>
  <c r="E19" i="22" s="1"/>
  <c r="K18" i="22"/>
  <c r="D18" i="22"/>
  <c r="E18" i="22" s="1"/>
  <c r="K17" i="22"/>
  <c r="D17" i="22"/>
  <c r="E17" i="22" s="1"/>
  <c r="K16" i="22"/>
  <c r="D16" i="22"/>
  <c r="E16" i="22" s="1"/>
  <c r="K15" i="22"/>
  <c r="D15" i="22"/>
  <c r="E15" i="22" s="1"/>
  <c r="K14" i="22"/>
  <c r="D14" i="22"/>
  <c r="E14" i="22" s="1"/>
  <c r="K13" i="22"/>
  <c r="D13" i="22"/>
  <c r="E13" i="22" s="1"/>
  <c r="K12" i="22"/>
  <c r="D12" i="22"/>
  <c r="E12" i="22" s="1"/>
  <c r="K11" i="22"/>
  <c r="D11" i="22"/>
  <c r="E11" i="22" s="1"/>
  <c r="K10" i="22"/>
  <c r="D10" i="22"/>
  <c r="E10" i="22" s="1"/>
  <c r="K9" i="22"/>
  <c r="D9" i="22"/>
  <c r="E9" i="22" s="1"/>
  <c r="K8" i="22"/>
  <c r="D8" i="22"/>
  <c r="E8" i="22" s="1"/>
  <c r="K7" i="22"/>
  <c r="D7" i="22"/>
  <c r="E7" i="22" s="1"/>
  <c r="K6" i="22"/>
  <c r="D6" i="22"/>
  <c r="E6" i="22" s="1"/>
  <c r="E3" i="25" l="1"/>
  <c r="K3" i="25" s="1"/>
  <c r="L3" i="25" s="1"/>
  <c r="E3" i="24"/>
  <c r="K2" i="24" s="1"/>
  <c r="E3" i="23"/>
  <c r="E3" i="22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7" i="14"/>
  <c r="K2" i="25" l="1"/>
  <c r="K3" i="24"/>
  <c r="L3" i="24" s="1"/>
  <c r="K3" i="17"/>
  <c r="K3" i="15"/>
  <c r="L3" i="15" s="1"/>
  <c r="K3" i="16"/>
  <c r="H3" i="15"/>
  <c r="H4" i="15" s="1"/>
  <c r="H2" i="15"/>
  <c r="D8" i="14"/>
  <c r="D9" i="14"/>
  <c r="D10" i="14"/>
  <c r="D11" i="14"/>
  <c r="D12" i="14"/>
  <c r="D13" i="14"/>
  <c r="D7" i="14"/>
  <c r="G10" i="17" l="1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9" i="16"/>
  <c r="E38" i="16"/>
  <c r="E37" i="16"/>
  <c r="E36" i="16"/>
  <c r="E35" i="16"/>
  <c r="E34" i="16"/>
  <c r="E33" i="16"/>
  <c r="E32" i="16"/>
  <c r="E31" i="16"/>
  <c r="E30" i="16"/>
  <c r="E29" i="16"/>
  <c r="E28" i="16"/>
  <c r="E27" i="16"/>
  <c r="E26" i="16"/>
  <c r="E25" i="16"/>
  <c r="E24" i="16"/>
  <c r="E23" i="16"/>
  <c r="E22" i="16"/>
  <c r="E21" i="16"/>
  <c r="E20" i="16"/>
  <c r="E19" i="16"/>
  <c r="E18" i="16"/>
  <c r="E17" i="16"/>
  <c r="E16" i="16"/>
  <c r="E15" i="16"/>
  <c r="E14" i="16"/>
  <c r="E13" i="16"/>
  <c r="E12" i="16"/>
  <c r="E11" i="16"/>
  <c r="G11" i="16" s="1"/>
  <c r="E10" i="16"/>
  <c r="E9" i="16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9" i="15"/>
  <c r="G33" i="16" l="1"/>
  <c r="G17" i="16"/>
  <c r="H33" i="17"/>
  <c r="H17" i="17"/>
  <c r="G37" i="16"/>
  <c r="G21" i="16"/>
  <c r="H37" i="17"/>
  <c r="H21" i="17"/>
  <c r="G38" i="16"/>
  <c r="G26" i="16"/>
  <c r="G22" i="16"/>
  <c r="H30" i="17"/>
  <c r="H26" i="17"/>
  <c r="H14" i="17"/>
  <c r="H10" i="17"/>
  <c r="H16" i="17"/>
  <c r="H20" i="17"/>
  <c r="H22" i="17"/>
  <c r="H18" i="17"/>
  <c r="H32" i="17"/>
  <c r="H34" i="17"/>
  <c r="H36" i="17"/>
  <c r="H38" i="17"/>
  <c r="H11" i="17"/>
  <c r="H23" i="17"/>
  <c r="H27" i="17"/>
  <c r="H9" i="17"/>
  <c r="H13" i="17"/>
  <c r="H15" i="17"/>
  <c r="H24" i="17"/>
  <c r="H29" i="17"/>
  <c r="H31" i="17"/>
  <c r="H25" i="17"/>
  <c r="H12" i="17"/>
  <c r="H19" i="17"/>
  <c r="H28" i="17"/>
  <c r="H35" i="17"/>
  <c r="G16" i="16"/>
  <c r="G9" i="16"/>
  <c r="G13" i="16"/>
  <c r="G20" i="16"/>
  <c r="G32" i="16"/>
  <c r="G36" i="16"/>
  <c r="G23" i="16"/>
  <c r="G25" i="16"/>
  <c r="G27" i="16"/>
  <c r="G29" i="16"/>
  <c r="G15" i="16"/>
  <c r="G18" i="16"/>
  <c r="G24" i="16"/>
  <c r="G31" i="16"/>
  <c r="G34" i="16"/>
  <c r="G14" i="16"/>
  <c r="G30" i="16"/>
  <c r="G10" i="16"/>
  <c r="G12" i="16"/>
  <c r="G19" i="16"/>
  <c r="G28" i="16"/>
  <c r="G35" i="16"/>
  <c r="E38" i="15"/>
  <c r="F38" i="15" s="1"/>
  <c r="E37" i="15"/>
  <c r="F37" i="15" s="1"/>
  <c r="E36" i="15"/>
  <c r="F36" i="15" s="1"/>
  <c r="E35" i="15"/>
  <c r="F35" i="15" s="1"/>
  <c r="E34" i="15"/>
  <c r="F34" i="15" s="1"/>
  <c r="E33" i="15"/>
  <c r="F33" i="15" s="1"/>
  <c r="E32" i="15"/>
  <c r="F32" i="15" s="1"/>
  <c r="E31" i="15"/>
  <c r="F31" i="15" s="1"/>
  <c r="E30" i="15"/>
  <c r="F30" i="15" s="1"/>
  <c r="E29" i="15"/>
  <c r="F29" i="15" s="1"/>
  <c r="E28" i="15"/>
  <c r="F28" i="15" s="1"/>
  <c r="E27" i="15"/>
  <c r="F27" i="15" s="1"/>
  <c r="E26" i="15"/>
  <c r="F26" i="15" s="1"/>
  <c r="E25" i="15"/>
  <c r="F25" i="15" s="1"/>
  <c r="E24" i="15"/>
  <c r="F24" i="15" s="1"/>
  <c r="E23" i="15"/>
  <c r="F23" i="15" s="1"/>
  <c r="E22" i="15"/>
  <c r="F22" i="15" s="1"/>
  <c r="E21" i="15"/>
  <c r="F21" i="15" s="1"/>
  <c r="E20" i="15"/>
  <c r="F20" i="15" s="1"/>
  <c r="E19" i="15"/>
  <c r="F19" i="15" s="1"/>
  <c r="E18" i="15"/>
  <c r="F18" i="15" s="1"/>
  <c r="E17" i="15"/>
  <c r="F17" i="15" s="1"/>
  <c r="E16" i="15"/>
  <c r="F16" i="15" s="1"/>
  <c r="E15" i="15"/>
  <c r="F15" i="15" s="1"/>
  <c r="E14" i="15"/>
  <c r="F14" i="15" s="1"/>
  <c r="E13" i="15"/>
  <c r="F13" i="15" s="1"/>
  <c r="E12" i="15"/>
  <c r="F12" i="15" s="1"/>
  <c r="E11" i="15"/>
  <c r="F11" i="15" s="1"/>
  <c r="E10" i="15"/>
  <c r="F10" i="15" s="1"/>
  <c r="E9" i="15"/>
  <c r="F9" i="15" s="1"/>
  <c r="E3" i="17" l="1"/>
  <c r="E3" i="16"/>
  <c r="K2" i="16" s="1"/>
  <c r="E3" i="15"/>
  <c r="K2" i="15" s="1"/>
  <c r="E8" i="14" l="1"/>
  <c r="E9" i="14"/>
  <c r="E10" i="14"/>
  <c r="E11" i="14"/>
  <c r="E12" i="14"/>
  <c r="E13" i="14"/>
  <c r="D14" i="14"/>
  <c r="E14" i="14" s="1"/>
  <c r="D15" i="14"/>
  <c r="E15" i="14" s="1"/>
  <c r="D16" i="14"/>
  <c r="E16" i="14" s="1"/>
  <c r="D17" i="14"/>
  <c r="E17" i="14" s="1"/>
  <c r="D18" i="14"/>
  <c r="E18" i="14" s="1"/>
  <c r="D19" i="14"/>
  <c r="E19" i="14" s="1"/>
  <c r="D20" i="14"/>
  <c r="E20" i="14" s="1"/>
  <c r="D21" i="14"/>
  <c r="E21" i="14" s="1"/>
  <c r="D22" i="14"/>
  <c r="E22" i="14" s="1"/>
  <c r="D23" i="14"/>
  <c r="E23" i="14" s="1"/>
  <c r="D24" i="14"/>
  <c r="E24" i="14" s="1"/>
  <c r="D25" i="14"/>
  <c r="E25" i="14" s="1"/>
  <c r="D26" i="14"/>
  <c r="E26" i="14" s="1"/>
  <c r="D27" i="14"/>
  <c r="E27" i="14" s="1"/>
  <c r="D28" i="14"/>
  <c r="E28" i="14" s="1"/>
  <c r="D29" i="14"/>
  <c r="E29" i="14" s="1"/>
  <c r="D30" i="14"/>
  <c r="E30" i="14" s="1"/>
  <c r="D31" i="14"/>
  <c r="E31" i="14" s="1"/>
  <c r="D32" i="14"/>
  <c r="E32" i="14" s="1"/>
  <c r="D33" i="14"/>
  <c r="E33" i="14" s="1"/>
  <c r="D34" i="14"/>
  <c r="E34" i="14" s="1"/>
  <c r="D35" i="14"/>
  <c r="E35" i="14" s="1"/>
  <c r="D36" i="14"/>
  <c r="E36" i="14" s="1"/>
  <c r="D37" i="14"/>
  <c r="E37" i="14" s="1"/>
  <c r="E7" i="14"/>
  <c r="E3" i="14" l="1"/>
  <c r="G3" i="14" l="1"/>
  <c r="I3" i="14"/>
  <c r="K3" i="14" s="1"/>
</calcChain>
</file>

<file path=xl/sharedStrings.xml><?xml version="1.0" encoding="utf-8"?>
<sst xmlns="http://schemas.openxmlformats.org/spreadsheetml/2006/main" count="181" uniqueCount="70">
  <si>
    <t>b0</t>
  </si>
  <si>
    <t>b1</t>
  </si>
  <si>
    <t>Age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</si>
  <si>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</si>
  <si>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</si>
  <si>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</si>
  <si>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</si>
  <si>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</si>
  <si>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</si>
  <si>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</si>
  <si>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</si>
  <si>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</si>
  <si>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</si>
  <si>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</si>
  <si>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</si>
  <si>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</si>
  <si>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</si>
  <si>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</si>
  <si>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</si>
  <si>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</si>
  <si>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</si>
  <si>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</si>
  <si>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</si>
  <si>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</si>
  <si>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</si>
  <si>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</si>
  <si>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</si>
  <si>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</si>
  <si>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Purchased</t>
  </si>
  <si>
    <r>
      <t>Pr[y(x</t>
    </r>
    <r>
      <rPr>
        <vertAlign val="subscript"/>
        <sz val="14"/>
        <color theme="1"/>
        <rFont val="Calibri"/>
        <family val="2"/>
        <scheme val="minor"/>
      </rPr>
      <t>i</t>
    </r>
    <r>
      <rPr>
        <sz val="14"/>
        <color theme="1"/>
        <rFont val="Calibri"/>
        <family val="2"/>
        <scheme val="minor"/>
      </rPr>
      <t>) = 1]</t>
    </r>
  </si>
  <si>
    <r>
      <t>Pr[y(x</t>
    </r>
    <r>
      <rPr>
        <vertAlign val="subscript"/>
        <sz val="14"/>
        <color theme="1"/>
        <rFont val="Calibri"/>
        <family val="2"/>
        <scheme val="minor"/>
      </rPr>
      <t>i</t>
    </r>
    <r>
      <rPr>
        <sz val="14"/>
        <color theme="1"/>
        <rFont val="Calibri"/>
        <family val="2"/>
        <scheme val="minor"/>
      </rPr>
      <t>) = y</t>
    </r>
    <r>
      <rPr>
        <vertAlign val="subscript"/>
        <sz val="14"/>
        <color theme="1"/>
        <rFont val="Calibri"/>
        <family val="2"/>
        <scheme val="minor"/>
      </rPr>
      <t>i</t>
    </r>
    <r>
      <rPr>
        <sz val="14"/>
        <color theme="1"/>
        <rFont val="Calibri"/>
        <family val="2"/>
        <scheme val="minor"/>
      </rPr>
      <t>]</t>
    </r>
  </si>
  <si>
    <t>Log Likelihood:</t>
  </si>
  <si>
    <t>Order Size</t>
  </si>
  <si>
    <t>Comp. Time</t>
  </si>
  <si>
    <t>Cars Ahead</t>
  </si>
  <si>
    <t>Workers</t>
  </si>
  <si>
    <t>Lin Reg</t>
  </si>
  <si>
    <t>Logistic</t>
  </si>
  <si>
    <t>On Time</t>
  </si>
  <si>
    <t>b0-hat</t>
  </si>
  <si>
    <t>McFadden R^2</t>
  </si>
  <si>
    <r>
      <t xml:space="preserve">Model </t>
    </r>
    <r>
      <rPr>
        <i/>
        <sz val="14"/>
        <color theme="1"/>
        <rFont val="MMGreek"/>
        <family val="3"/>
      </rPr>
      <t>|</t>
    </r>
    <r>
      <rPr>
        <vertAlign val="superscript"/>
        <sz val="14"/>
        <color theme="1"/>
        <rFont val="Calibri"/>
        <family val="2"/>
      </rPr>
      <t>2</t>
    </r>
  </si>
  <si>
    <t>Crit. Val.</t>
  </si>
  <si>
    <t>p-value</t>
  </si>
  <si>
    <r>
      <t>R</t>
    </r>
    <r>
      <rPr>
        <vertAlign val="superscript"/>
        <sz val="14"/>
        <color theme="1"/>
        <rFont val="Calibri"/>
        <family val="2"/>
        <scheme val="minor"/>
      </rPr>
      <t>2</t>
    </r>
    <r>
      <rPr>
        <vertAlign val="subscript"/>
        <sz val="14"/>
        <color theme="1"/>
        <rFont val="Calibri"/>
        <family val="2"/>
        <scheme val="minor"/>
      </rPr>
      <t>McF</t>
    </r>
  </si>
  <si>
    <t>bc-hat</t>
  </si>
  <si>
    <t>bs-hat</t>
  </si>
  <si>
    <t>bw-hat</t>
  </si>
  <si>
    <t>bc</t>
  </si>
  <si>
    <t>bs</t>
  </si>
  <si>
    <t>bw</t>
  </si>
  <si>
    <r>
      <t xml:space="preserve">Model </t>
    </r>
    <r>
      <rPr>
        <sz val="14"/>
        <color theme="1"/>
        <rFont val="Calibri"/>
        <family val="2"/>
      </rPr>
      <t>χ2</t>
    </r>
  </si>
  <si>
    <t>bs χ2</t>
  </si>
  <si>
    <t>bw χ2</t>
  </si>
  <si>
    <t>bc χ2</t>
  </si>
  <si>
    <t>Pr[yi=1]</t>
  </si>
  <si>
    <t>Probability that someone purchases based on age</t>
  </si>
  <si>
    <t>Pr[y(xi)=yi]</t>
  </si>
  <si>
    <t>Likelihood Function:</t>
  </si>
  <si>
    <t>Log Likelihood</t>
  </si>
  <si>
    <t>Probability that somone of this age would purchase the same way (Answers: "Whats the probability that a 64 year old would do what mine did?")</t>
  </si>
  <si>
    <t>This is Log Likelihood, used to keep the product from getting too small.</t>
  </si>
  <si>
    <t>Data --&gt; Solver, Maximize Log Likelihood by altering the b0 and b1 cells</t>
  </si>
  <si>
    <t>On Time:</t>
  </si>
  <si>
    <t>(or less)</t>
  </si>
  <si>
    <t>Pr[y(x)=1]</t>
  </si>
  <si>
    <t>Probability that a customer with this many cars ahead finishes on time</t>
  </si>
  <si>
    <t>Probability that a customer with that many cars ahead did what they did</t>
  </si>
  <si>
    <t>R2McFadden</t>
  </si>
  <si>
    <t>ChiSq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</si>
</sst>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000"/>
    <numFmt numFmtId="165" formatCode="0.0000"/>
    <numFmt numFmtId="166" formatCode="&quot;$&quot;#,##0.00"/>
  </numFmts>
  <fonts count="8"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vertAlign val="subscript"/>
      <sz val="14"/>
      <color theme="1"/>
      <name val="Calibri"/>
      <family val="2"/>
      <scheme val="minor"/>
    </font>
    <font>
      <i/>
      <sz val="14"/>
      <color theme="1"/>
      <name val="MMGreek"/>
      <family val="3"/>
    </font>
    <font>
      <vertAlign val="superscript"/>
      <sz val="14"/>
      <color theme="1"/>
      <name val="Calibri"/>
      <family val="2"/>
    </font>
    <font>
      <sz val="14"/>
      <color theme="1"/>
      <name val="Calibri"/>
      <family val="2"/>
    </font>
    <font>
      <vertAlign val="superscript"/>
      <sz val="14"/>
      <color theme="1"/>
      <name val="Calibri"/>
      <family val="2"/>
      <scheme val="minor"/>
    </font>
    <font>
      <strike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Continuous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3" xfId="0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0" xfId="0" applyNumberFormat="1"/>
    <xf numFmtId="1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/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1" fontId="7" fillId="0" borderId="0" xfId="0" applyNumberFormat="1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center" wrapText="1"/>
    </xf>
    <xf numFmtId="0" fontId="0" fillId="2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26D"/>
      <color rgb="FF5DFF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worksheet" Target="worksheets/sheet10.xml"/><Relationship Id="rId18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9.xml"/><Relationship Id="rId17" Type="http://schemas.openxmlformats.org/officeDocument/2006/relationships/styles" Target="styles.xml"/><Relationship Id="rId2" Type="http://schemas.openxmlformats.org/officeDocument/2006/relationships/chartsheet" Target="chart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worksheet" Target="worksheets/sheet8.xml"/><Relationship Id="rId5" Type="http://schemas.openxmlformats.org/officeDocument/2006/relationships/worksheet" Target="worksheets/sheet2.xml"/><Relationship Id="rId15" Type="http://schemas.openxmlformats.org/officeDocument/2006/relationships/worksheet" Target="worksheets/sheet12.xml"/><Relationship Id="rId10" Type="http://schemas.openxmlformats.org/officeDocument/2006/relationships/worksheet" Target="worksheets/sheet7.xml"/><Relationship Id="rId19" Type="http://schemas.openxmlformats.org/officeDocument/2006/relationships/calcChain" Target="calcChain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schemas.openxmlformats.org/officeDocument/2006/relationships/worksheet" Target="worksheets/sheet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v>'Data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'Example-Solver'!$B$7:$B$37</c:f>
              <c:numCache>
                <c:formatCode>General</c:formatCode>
                <c:ptCount val="31"/>
                <c:pt idx="0">
                  <c:v>64</c:v>
                </c:pt>
                <c:pt idx="1">
                  <c:v>67</c:v>
                </c:pt>
                <c:pt idx="2">
                  <c:v>52</c:v>
                </c:pt>
                <c:pt idx="3">
                  <c:v>77</c:v>
                </c:pt>
                <c:pt idx="4">
                  <c:v>56</c:v>
                </c:pt>
                <c:pt idx="5">
                  <c:v>33</c:v>
                </c:pt>
                <c:pt idx="6">
                  <c:v>35</c:v>
                </c:pt>
                <c:pt idx="7">
                  <c:v>56</c:v>
                </c:pt>
                <c:pt idx="8">
                  <c:v>67</c:v>
                </c:pt>
                <c:pt idx="9">
                  <c:v>57</c:v>
                </c:pt>
                <c:pt idx="10">
                  <c:v>24</c:v>
                </c:pt>
                <c:pt idx="11">
                  <c:v>41</c:v>
                </c:pt>
                <c:pt idx="12">
                  <c:v>58</c:v>
                </c:pt>
                <c:pt idx="13">
                  <c:v>48</c:v>
                </c:pt>
                <c:pt idx="14">
                  <c:v>52</c:v>
                </c:pt>
                <c:pt idx="15">
                  <c:v>57</c:v>
                </c:pt>
                <c:pt idx="16">
                  <c:v>29</c:v>
                </c:pt>
                <c:pt idx="17">
                  <c:v>68</c:v>
                </c:pt>
                <c:pt idx="18">
                  <c:v>70</c:v>
                </c:pt>
                <c:pt idx="19">
                  <c:v>62</c:v>
                </c:pt>
                <c:pt idx="20">
                  <c:v>57</c:v>
                </c:pt>
                <c:pt idx="21">
                  <c:v>67</c:v>
                </c:pt>
                <c:pt idx="22">
                  <c:v>45</c:v>
                </c:pt>
                <c:pt idx="23">
                  <c:v>45</c:v>
                </c:pt>
                <c:pt idx="24">
                  <c:v>74</c:v>
                </c:pt>
                <c:pt idx="25">
                  <c:v>62</c:v>
                </c:pt>
                <c:pt idx="26">
                  <c:v>34</c:v>
                </c:pt>
                <c:pt idx="27">
                  <c:v>22</c:v>
                </c:pt>
                <c:pt idx="28">
                  <c:v>54</c:v>
                </c:pt>
                <c:pt idx="29">
                  <c:v>37</c:v>
                </c:pt>
                <c:pt idx="30">
                  <c:v>32</c:v>
                </c:pt>
              </c:numCache>
            </c:numRef>
          </c:xVal>
          <c:yVal>
            <c:numRef>
              <c:f>'Example-Solver'!$C$7:$C$37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F8-4948-889A-94CF16E06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45545328"/>
        <c:axId val="-1945551856"/>
      </c:scatterChart>
      <c:valAx>
        <c:axId val="-194554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45551856"/>
        <c:crosses val="autoZero"/>
        <c:crossBetween val="midCat"/>
      </c:valAx>
      <c:valAx>
        <c:axId val="-1945551856"/>
        <c:scaling>
          <c:orientation val="minMax"/>
          <c:max val="1.4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455453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Prob</c:v>
          </c:tx>
          <c:spPr>
            <a:ln w="19050" cap="rnd">
              <a:solidFill>
                <a:srgbClr val="00F26D"/>
              </a:solidFill>
              <a:round/>
            </a:ln>
            <a:effectLst/>
          </c:spPr>
          <c:marker>
            <c:symbol val="none"/>
          </c:marker>
          <c:xVal>
            <c:numRef>
              <c:f>'Example-Solver'!$B$7:$B$37</c:f>
              <c:numCache>
                <c:formatCode>General</c:formatCode>
                <c:ptCount val="31"/>
                <c:pt idx="0">
                  <c:v>64</c:v>
                </c:pt>
                <c:pt idx="1">
                  <c:v>67</c:v>
                </c:pt>
                <c:pt idx="2">
                  <c:v>52</c:v>
                </c:pt>
                <c:pt idx="3">
                  <c:v>77</c:v>
                </c:pt>
                <c:pt idx="4">
                  <c:v>56</c:v>
                </c:pt>
                <c:pt idx="5">
                  <c:v>33</c:v>
                </c:pt>
                <c:pt idx="6">
                  <c:v>35</c:v>
                </c:pt>
                <c:pt idx="7">
                  <c:v>56</c:v>
                </c:pt>
                <c:pt idx="8">
                  <c:v>67</c:v>
                </c:pt>
                <c:pt idx="9">
                  <c:v>57</c:v>
                </c:pt>
                <c:pt idx="10">
                  <c:v>24</c:v>
                </c:pt>
                <c:pt idx="11">
                  <c:v>41</c:v>
                </c:pt>
                <c:pt idx="12">
                  <c:v>58</c:v>
                </c:pt>
                <c:pt idx="13">
                  <c:v>48</c:v>
                </c:pt>
                <c:pt idx="14">
                  <c:v>52</c:v>
                </c:pt>
                <c:pt idx="15">
                  <c:v>57</c:v>
                </c:pt>
                <c:pt idx="16">
                  <c:v>29</c:v>
                </c:pt>
                <c:pt idx="17">
                  <c:v>68</c:v>
                </c:pt>
                <c:pt idx="18">
                  <c:v>70</c:v>
                </c:pt>
                <c:pt idx="19">
                  <c:v>62</c:v>
                </c:pt>
                <c:pt idx="20">
                  <c:v>57</c:v>
                </c:pt>
                <c:pt idx="21">
                  <c:v>67</c:v>
                </c:pt>
                <c:pt idx="22">
                  <c:v>45</c:v>
                </c:pt>
                <c:pt idx="23">
                  <c:v>45</c:v>
                </c:pt>
                <c:pt idx="24">
                  <c:v>74</c:v>
                </c:pt>
                <c:pt idx="25">
                  <c:v>62</c:v>
                </c:pt>
                <c:pt idx="26">
                  <c:v>34</c:v>
                </c:pt>
                <c:pt idx="27">
                  <c:v>22</c:v>
                </c:pt>
                <c:pt idx="28">
                  <c:v>54</c:v>
                </c:pt>
                <c:pt idx="29">
                  <c:v>37</c:v>
                </c:pt>
                <c:pt idx="30">
                  <c:v>32</c:v>
                </c:pt>
              </c:numCache>
            </c:numRef>
          </c:xVal>
          <c:yVal>
            <c:numRef>
              <c:f>'Example-Solver'!$K$7:$K$37</c:f>
              <c:numCache>
                <c:formatCode>General</c:formatCode>
                <c:ptCount val="31"/>
                <c:pt idx="0">
                  <c:v>0.89824279208087454</c:v>
                </c:pt>
                <c:pt idx="1">
                  <c:v>0.97556368125239634</c:v>
                </c:pt>
                <c:pt idx="2">
                  <c:v>0.58895923539478712</c:v>
                </c:pt>
                <c:pt idx="3">
                  <c:v>1.2332999784908023</c:v>
                </c:pt>
                <c:pt idx="4">
                  <c:v>0.69205375429014959</c:v>
                </c:pt>
                <c:pt idx="5">
                  <c:v>9.9260270641815529E-2</c:v>
                </c:pt>
                <c:pt idx="6">
                  <c:v>0.15080753008949677</c:v>
                </c:pt>
                <c:pt idx="7">
                  <c:v>0.69205375429014959</c:v>
                </c:pt>
                <c:pt idx="8">
                  <c:v>0.97556368125239634</c:v>
                </c:pt>
                <c:pt idx="9">
                  <c:v>0.71782738401399027</c:v>
                </c:pt>
                <c:pt idx="10">
                  <c:v>-0.13270239687274998</c:v>
                </c:pt>
                <c:pt idx="11">
                  <c:v>0.30544930843254037</c:v>
                </c:pt>
                <c:pt idx="12">
                  <c:v>0.74360101373783094</c:v>
                </c:pt>
                <c:pt idx="13">
                  <c:v>0.48586471649942464</c:v>
                </c:pt>
                <c:pt idx="14">
                  <c:v>0.58895923539478712</c:v>
                </c:pt>
                <c:pt idx="15">
                  <c:v>0.71782738401399027</c:v>
                </c:pt>
                <c:pt idx="16">
                  <c:v>-3.8342482535468347E-3</c:v>
                </c:pt>
                <c:pt idx="17">
                  <c:v>1.0013373109762371</c:v>
                </c:pt>
                <c:pt idx="18">
                  <c:v>1.052884570423918</c:v>
                </c:pt>
                <c:pt idx="19">
                  <c:v>0.84669553263319342</c:v>
                </c:pt>
                <c:pt idx="20">
                  <c:v>0.71782738401399027</c:v>
                </c:pt>
                <c:pt idx="21">
                  <c:v>0.97556368125239634</c:v>
                </c:pt>
                <c:pt idx="22">
                  <c:v>0.40854382732790284</c:v>
                </c:pt>
                <c:pt idx="23">
                  <c:v>0.40854382732790284</c:v>
                </c:pt>
                <c:pt idx="24">
                  <c:v>1.1559790893192807</c:v>
                </c:pt>
                <c:pt idx="25">
                  <c:v>0.84669553263319342</c:v>
                </c:pt>
                <c:pt idx="26">
                  <c:v>0.1250339003656562</c:v>
                </c:pt>
                <c:pt idx="27">
                  <c:v>-0.18424965632043111</c:v>
                </c:pt>
                <c:pt idx="28">
                  <c:v>0.64050649484246847</c:v>
                </c:pt>
                <c:pt idx="29">
                  <c:v>0.202354789537178</c:v>
                </c:pt>
                <c:pt idx="30">
                  <c:v>7.3486640917974966E-2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B0-4922-8F2D-9287AEB7FA61}"/>
            </c:ext>
          </c:extLst>
        </c:ser>
        <c:ser>
          <c:idx val="1"/>
          <c:order val="1"/>
          <c:tx>
            <c:v>'Data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'Example-Solver'!$B$7:$B$37</c:f>
              <c:numCache>
                <c:formatCode>General</c:formatCode>
                <c:ptCount val="31"/>
                <c:pt idx="0">
                  <c:v>64</c:v>
                </c:pt>
                <c:pt idx="1">
                  <c:v>67</c:v>
                </c:pt>
                <c:pt idx="2">
                  <c:v>52</c:v>
                </c:pt>
                <c:pt idx="3">
                  <c:v>77</c:v>
                </c:pt>
                <c:pt idx="4">
                  <c:v>56</c:v>
                </c:pt>
                <c:pt idx="5">
                  <c:v>33</c:v>
                </c:pt>
                <c:pt idx="6">
                  <c:v>35</c:v>
                </c:pt>
                <c:pt idx="7">
                  <c:v>56</c:v>
                </c:pt>
                <c:pt idx="8">
                  <c:v>67</c:v>
                </c:pt>
                <c:pt idx="9">
                  <c:v>57</c:v>
                </c:pt>
                <c:pt idx="10">
                  <c:v>24</c:v>
                </c:pt>
                <c:pt idx="11">
                  <c:v>41</c:v>
                </c:pt>
                <c:pt idx="12">
                  <c:v>58</c:v>
                </c:pt>
                <c:pt idx="13">
                  <c:v>48</c:v>
                </c:pt>
                <c:pt idx="14">
                  <c:v>52</c:v>
                </c:pt>
                <c:pt idx="15">
                  <c:v>57</c:v>
                </c:pt>
                <c:pt idx="16">
                  <c:v>29</c:v>
                </c:pt>
                <c:pt idx="17">
                  <c:v>68</c:v>
                </c:pt>
                <c:pt idx="18">
                  <c:v>70</c:v>
                </c:pt>
                <c:pt idx="19">
                  <c:v>62</c:v>
                </c:pt>
                <c:pt idx="20">
                  <c:v>57</c:v>
                </c:pt>
                <c:pt idx="21">
                  <c:v>67</c:v>
                </c:pt>
                <c:pt idx="22">
                  <c:v>45</c:v>
                </c:pt>
                <c:pt idx="23">
                  <c:v>45</c:v>
                </c:pt>
                <c:pt idx="24">
                  <c:v>74</c:v>
                </c:pt>
                <c:pt idx="25">
                  <c:v>62</c:v>
                </c:pt>
                <c:pt idx="26">
                  <c:v>34</c:v>
                </c:pt>
                <c:pt idx="27">
                  <c:v>22</c:v>
                </c:pt>
                <c:pt idx="28">
                  <c:v>54</c:v>
                </c:pt>
                <c:pt idx="29">
                  <c:v>37</c:v>
                </c:pt>
                <c:pt idx="30">
                  <c:v>32</c:v>
                </c:pt>
              </c:numCache>
            </c:numRef>
          </c:xVal>
          <c:yVal>
            <c:numRef>
              <c:f>'Example-Solver'!$C$7:$C$37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B0-4922-8F2D-9287AEB7F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45544784"/>
        <c:axId val="-2098372416"/>
      </c:scatterChart>
      <c:valAx>
        <c:axId val="-194554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8372416"/>
        <c:crosses val="autoZero"/>
        <c:crossBetween val="midCat"/>
      </c:valAx>
      <c:valAx>
        <c:axId val="-2098372416"/>
        <c:scaling>
          <c:orientation val="minMax"/>
          <c:max val="1.4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4554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'Data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'Example-Solver'!$B$7:$B$37</c:f>
              <c:numCache>
                <c:formatCode>General</c:formatCode>
                <c:ptCount val="31"/>
                <c:pt idx="0">
                  <c:v>64</c:v>
                </c:pt>
                <c:pt idx="1">
                  <c:v>67</c:v>
                </c:pt>
                <c:pt idx="2">
                  <c:v>52</c:v>
                </c:pt>
                <c:pt idx="3">
                  <c:v>77</c:v>
                </c:pt>
                <c:pt idx="4">
                  <c:v>56</c:v>
                </c:pt>
                <c:pt idx="5">
                  <c:v>33</c:v>
                </c:pt>
                <c:pt idx="6">
                  <c:v>35</c:v>
                </c:pt>
                <c:pt idx="7">
                  <c:v>56</c:v>
                </c:pt>
                <c:pt idx="8">
                  <c:v>67</c:v>
                </c:pt>
                <c:pt idx="9">
                  <c:v>57</c:v>
                </c:pt>
                <c:pt idx="10">
                  <c:v>24</c:v>
                </c:pt>
                <c:pt idx="11">
                  <c:v>41</c:v>
                </c:pt>
                <c:pt idx="12">
                  <c:v>58</c:v>
                </c:pt>
                <c:pt idx="13">
                  <c:v>48</c:v>
                </c:pt>
                <c:pt idx="14">
                  <c:v>52</c:v>
                </c:pt>
                <c:pt idx="15">
                  <c:v>57</c:v>
                </c:pt>
                <c:pt idx="16">
                  <c:v>29</c:v>
                </c:pt>
                <c:pt idx="17">
                  <c:v>68</c:v>
                </c:pt>
                <c:pt idx="18">
                  <c:v>70</c:v>
                </c:pt>
                <c:pt idx="19">
                  <c:v>62</c:v>
                </c:pt>
                <c:pt idx="20">
                  <c:v>57</c:v>
                </c:pt>
                <c:pt idx="21">
                  <c:v>67</c:v>
                </c:pt>
                <c:pt idx="22">
                  <c:v>45</c:v>
                </c:pt>
                <c:pt idx="23">
                  <c:v>45</c:v>
                </c:pt>
                <c:pt idx="24">
                  <c:v>74</c:v>
                </c:pt>
                <c:pt idx="25">
                  <c:v>62</c:v>
                </c:pt>
                <c:pt idx="26">
                  <c:v>34</c:v>
                </c:pt>
                <c:pt idx="27">
                  <c:v>22</c:v>
                </c:pt>
                <c:pt idx="28">
                  <c:v>54</c:v>
                </c:pt>
                <c:pt idx="29">
                  <c:v>37</c:v>
                </c:pt>
                <c:pt idx="30">
                  <c:v>32</c:v>
                </c:pt>
              </c:numCache>
            </c:numRef>
          </c:xVal>
          <c:yVal>
            <c:numRef>
              <c:f>'Example-Solver'!$C$7:$C$37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A6-40DB-A89D-7DF5810A413A}"/>
            </c:ext>
          </c:extLst>
        </c:ser>
        <c:ser>
          <c:idx val="3"/>
          <c:order val="1"/>
          <c:tx>
            <c:strRef>
              <c:f>'Example-Solver'!$K$6</c:f>
              <c:strCache>
                <c:ptCount val="1"/>
                <c:pt idx="0">
                  <c:v>Lin Reg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xVal>
            <c:numRef>
              <c:f>'Example-Solver'!$J$7:$J$37</c:f>
              <c:numCache>
                <c:formatCode>General</c:formatCode>
                <c:ptCount val="31"/>
                <c:pt idx="0">
                  <c:v>22</c:v>
                </c:pt>
                <c:pt idx="1">
                  <c:v>24</c:v>
                </c:pt>
                <c:pt idx="2">
                  <c:v>29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37</c:v>
                </c:pt>
                <c:pt idx="8">
                  <c:v>41</c:v>
                </c:pt>
                <c:pt idx="9">
                  <c:v>45</c:v>
                </c:pt>
                <c:pt idx="10">
                  <c:v>45</c:v>
                </c:pt>
                <c:pt idx="11">
                  <c:v>48</c:v>
                </c:pt>
                <c:pt idx="12">
                  <c:v>52</c:v>
                </c:pt>
                <c:pt idx="13">
                  <c:v>52</c:v>
                </c:pt>
                <c:pt idx="14">
                  <c:v>54</c:v>
                </c:pt>
                <c:pt idx="15">
                  <c:v>56</c:v>
                </c:pt>
                <c:pt idx="16">
                  <c:v>56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58</c:v>
                </c:pt>
                <c:pt idx="21">
                  <c:v>62</c:v>
                </c:pt>
                <c:pt idx="22">
                  <c:v>62</c:v>
                </c:pt>
                <c:pt idx="23">
                  <c:v>64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68</c:v>
                </c:pt>
                <c:pt idx="28">
                  <c:v>70</c:v>
                </c:pt>
                <c:pt idx="29">
                  <c:v>74</c:v>
                </c:pt>
                <c:pt idx="30">
                  <c:v>77</c:v>
                </c:pt>
              </c:numCache>
            </c:numRef>
          </c:xVal>
          <c:yVal>
            <c:numRef>
              <c:f>'Example-Solver'!$K$7:$K$37</c:f>
              <c:numCache>
                <c:formatCode>General</c:formatCode>
                <c:ptCount val="31"/>
                <c:pt idx="0">
                  <c:v>0.89824279208087454</c:v>
                </c:pt>
                <c:pt idx="1">
                  <c:v>0.97556368125239634</c:v>
                </c:pt>
                <c:pt idx="2">
                  <c:v>0.58895923539478712</c:v>
                </c:pt>
                <c:pt idx="3">
                  <c:v>1.2332999784908023</c:v>
                </c:pt>
                <c:pt idx="4">
                  <c:v>0.69205375429014959</c:v>
                </c:pt>
                <c:pt idx="5">
                  <c:v>9.9260270641815529E-2</c:v>
                </c:pt>
                <c:pt idx="6">
                  <c:v>0.15080753008949677</c:v>
                </c:pt>
                <c:pt idx="7">
                  <c:v>0.69205375429014959</c:v>
                </c:pt>
                <c:pt idx="8">
                  <c:v>0.97556368125239634</c:v>
                </c:pt>
                <c:pt idx="9">
                  <c:v>0.71782738401399027</c:v>
                </c:pt>
                <c:pt idx="10">
                  <c:v>-0.13270239687274998</c:v>
                </c:pt>
                <c:pt idx="11">
                  <c:v>0.30544930843254037</c:v>
                </c:pt>
                <c:pt idx="12">
                  <c:v>0.74360101373783094</c:v>
                </c:pt>
                <c:pt idx="13">
                  <c:v>0.48586471649942464</c:v>
                </c:pt>
                <c:pt idx="14">
                  <c:v>0.58895923539478712</c:v>
                </c:pt>
                <c:pt idx="15">
                  <c:v>0.71782738401399027</c:v>
                </c:pt>
                <c:pt idx="16">
                  <c:v>-3.8342482535468347E-3</c:v>
                </c:pt>
                <c:pt idx="17">
                  <c:v>1.0013373109762371</c:v>
                </c:pt>
                <c:pt idx="18">
                  <c:v>1.052884570423918</c:v>
                </c:pt>
                <c:pt idx="19">
                  <c:v>0.84669553263319342</c:v>
                </c:pt>
                <c:pt idx="20">
                  <c:v>0.71782738401399027</c:v>
                </c:pt>
                <c:pt idx="21">
                  <c:v>0.97556368125239634</c:v>
                </c:pt>
                <c:pt idx="22">
                  <c:v>0.40854382732790284</c:v>
                </c:pt>
                <c:pt idx="23">
                  <c:v>0.40854382732790284</c:v>
                </c:pt>
                <c:pt idx="24">
                  <c:v>1.1559790893192807</c:v>
                </c:pt>
                <c:pt idx="25">
                  <c:v>0.84669553263319342</c:v>
                </c:pt>
                <c:pt idx="26">
                  <c:v>0.1250339003656562</c:v>
                </c:pt>
                <c:pt idx="27">
                  <c:v>-0.18424965632043111</c:v>
                </c:pt>
                <c:pt idx="28">
                  <c:v>0.64050649484246847</c:v>
                </c:pt>
                <c:pt idx="29">
                  <c:v>0.202354789537178</c:v>
                </c:pt>
                <c:pt idx="30">
                  <c:v>7.3486640917974966E-2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A6-40DB-A89D-7DF5810A413A}"/>
            </c:ext>
          </c:extLst>
        </c:ser>
        <c:ser>
          <c:idx val="2"/>
          <c:order val="2"/>
          <c:tx>
            <c:v>Logistic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'Example-Solver'!$J$7:$J$37</c:f>
              <c:numCache>
                <c:formatCode>General</c:formatCode>
                <c:ptCount val="31"/>
                <c:pt idx="0">
                  <c:v>22</c:v>
                </c:pt>
                <c:pt idx="1">
                  <c:v>24</c:v>
                </c:pt>
                <c:pt idx="2">
                  <c:v>29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37</c:v>
                </c:pt>
                <c:pt idx="8">
                  <c:v>41</c:v>
                </c:pt>
                <c:pt idx="9">
                  <c:v>45</c:v>
                </c:pt>
                <c:pt idx="10">
                  <c:v>45</c:v>
                </c:pt>
                <c:pt idx="11">
                  <c:v>48</c:v>
                </c:pt>
                <c:pt idx="12">
                  <c:v>52</c:v>
                </c:pt>
                <c:pt idx="13">
                  <c:v>52</c:v>
                </c:pt>
                <c:pt idx="14">
                  <c:v>54</c:v>
                </c:pt>
                <c:pt idx="15">
                  <c:v>56</c:v>
                </c:pt>
                <c:pt idx="16">
                  <c:v>56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58</c:v>
                </c:pt>
                <c:pt idx="21">
                  <c:v>62</c:v>
                </c:pt>
                <c:pt idx="22">
                  <c:v>62</c:v>
                </c:pt>
                <c:pt idx="23">
                  <c:v>64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68</c:v>
                </c:pt>
                <c:pt idx="28">
                  <c:v>70</c:v>
                </c:pt>
                <c:pt idx="29">
                  <c:v>74</c:v>
                </c:pt>
                <c:pt idx="30">
                  <c:v>77</c:v>
                </c:pt>
              </c:numCache>
            </c:numRef>
          </c:xVal>
          <c:yVal>
            <c:numRef>
              <c:f>'Example-Solver'!$L$7:$L$37</c:f>
              <c:numCache>
                <c:formatCode>0.0000</c:formatCode>
                <c:ptCount val="31"/>
                <c:pt idx="0">
                  <c:v>1.5790224965157404E-3</c:v>
                </c:pt>
                <c:pt idx="1">
                  <c:v>2.5144576298311828E-3</c:v>
                </c:pt>
                <c:pt idx="2">
                  <c:v>8.020439473569476E-3</c:v>
                </c:pt>
                <c:pt idx="3">
                  <c:v>1.6009616690398468E-2</c:v>
                </c:pt>
                <c:pt idx="4">
                  <c:v>2.0127561761720061E-2</c:v>
                </c:pt>
                <c:pt idx="5">
                  <c:v>2.5277502498170654E-2</c:v>
                </c:pt>
                <c:pt idx="6">
                  <c:v>3.1702501215862725E-2</c:v>
                </c:pt>
                <c:pt idx="7">
                  <c:v>4.9597021753165917E-2</c:v>
                </c:pt>
                <c:pt idx="8">
                  <c:v>0.11705920656993495</c:v>
                </c:pt>
                <c:pt idx="9">
                  <c:v>0.25195713547620691</c:v>
                </c:pt>
                <c:pt idx="10">
                  <c:v>0.25195713547620691</c:v>
                </c:pt>
                <c:pt idx="11">
                  <c:v>0.40397766244090122</c:v>
                </c:pt>
                <c:pt idx="12">
                  <c:v>0.63261657040963504</c:v>
                </c:pt>
                <c:pt idx="13">
                  <c:v>0.63261657040963504</c:v>
                </c:pt>
                <c:pt idx="14">
                  <c:v>0.73295104759896157</c:v>
                </c:pt>
                <c:pt idx="15">
                  <c:v>0.81394272269646284</c:v>
                </c:pt>
                <c:pt idx="16">
                  <c:v>0.81394272269646284</c:v>
                </c:pt>
                <c:pt idx="17">
                  <c:v>0.84669740703835605</c:v>
                </c:pt>
                <c:pt idx="18">
                  <c:v>0.84669740703835605</c:v>
                </c:pt>
                <c:pt idx="19">
                  <c:v>0.84669740703835605</c:v>
                </c:pt>
                <c:pt idx="20">
                  <c:v>0.87457432463347795</c:v>
                </c:pt>
                <c:pt idx="21">
                  <c:v>0.94656637783805886</c:v>
                </c:pt>
                <c:pt idx="22">
                  <c:v>0.94656637783805886</c:v>
                </c:pt>
                <c:pt idx="23">
                  <c:v>0.96579531894714066</c:v>
                </c:pt>
                <c:pt idx="24">
                  <c:v>0.98270467085646307</c:v>
                </c:pt>
                <c:pt idx="25">
                  <c:v>0.98270467085646307</c:v>
                </c:pt>
                <c:pt idx="26">
                  <c:v>0.98270467085646307</c:v>
                </c:pt>
                <c:pt idx="27">
                  <c:v>0.98625129318886695</c:v>
                </c:pt>
                <c:pt idx="28">
                  <c:v>0.99132979566488244</c:v>
                </c:pt>
                <c:pt idx="29">
                  <c:v>0.99656922323488861</c:v>
                </c:pt>
                <c:pt idx="30">
                  <c:v>0.99829215673884342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A6-40DB-A89D-7DF5810A4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46696464"/>
        <c:axId val="-1622028640"/>
      </c:scatterChart>
      <c:valAx>
        <c:axId val="-1946696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8640"/>
        <c:crosses val="autoZero"/>
        <c:crossBetween val="midCat"/>
      </c:valAx>
      <c:valAx>
        <c:axId val="-1622028640"/>
        <c:scaling>
          <c:orientation val="minMax"/>
          <c:max val="1.4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46696464"/>
        <c:crosses val="autoZero"/>
        <c:crossBetween val="midCat"/>
      </c:valAx>
      <c:spPr>
        <a:noFill/>
        <a:ln>
          <a:solidFill>
            <a:srgbClr val="0070C0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'Example-Solver'!$C$6</c:f>
              <c:strCache>
                <c:ptCount val="1"/>
                <c:pt idx="0">
                  <c:v>Purchased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'Example-Solver'!$B$7:$B$37</c:f>
              <c:numCache>
                <c:formatCode>General</c:formatCode>
                <c:ptCount val="31"/>
                <c:pt idx="0">
                  <c:v>64</c:v>
                </c:pt>
                <c:pt idx="1">
                  <c:v>67</c:v>
                </c:pt>
                <c:pt idx="2">
                  <c:v>52</c:v>
                </c:pt>
                <c:pt idx="3">
                  <c:v>77</c:v>
                </c:pt>
                <c:pt idx="4">
                  <c:v>56</c:v>
                </c:pt>
                <c:pt idx="5">
                  <c:v>33</c:v>
                </c:pt>
                <c:pt idx="6">
                  <c:v>35</c:v>
                </c:pt>
                <c:pt idx="7">
                  <c:v>56</c:v>
                </c:pt>
                <c:pt idx="8">
                  <c:v>67</c:v>
                </c:pt>
                <c:pt idx="9">
                  <c:v>57</c:v>
                </c:pt>
                <c:pt idx="10">
                  <c:v>24</c:v>
                </c:pt>
                <c:pt idx="11">
                  <c:v>41</c:v>
                </c:pt>
                <c:pt idx="12">
                  <c:v>58</c:v>
                </c:pt>
                <c:pt idx="13">
                  <c:v>48</c:v>
                </c:pt>
                <c:pt idx="14">
                  <c:v>52</c:v>
                </c:pt>
                <c:pt idx="15">
                  <c:v>57</c:v>
                </c:pt>
                <c:pt idx="16">
                  <c:v>29</c:v>
                </c:pt>
                <c:pt idx="17">
                  <c:v>68</c:v>
                </c:pt>
                <c:pt idx="18">
                  <c:v>70</c:v>
                </c:pt>
                <c:pt idx="19">
                  <c:v>62</c:v>
                </c:pt>
                <c:pt idx="20">
                  <c:v>57</c:v>
                </c:pt>
                <c:pt idx="21">
                  <c:v>67</c:v>
                </c:pt>
                <c:pt idx="22">
                  <c:v>45</c:v>
                </c:pt>
                <c:pt idx="23">
                  <c:v>45</c:v>
                </c:pt>
                <c:pt idx="24">
                  <c:v>74</c:v>
                </c:pt>
                <c:pt idx="25">
                  <c:v>62</c:v>
                </c:pt>
                <c:pt idx="26">
                  <c:v>34</c:v>
                </c:pt>
                <c:pt idx="27">
                  <c:v>22</c:v>
                </c:pt>
                <c:pt idx="28">
                  <c:v>54</c:v>
                </c:pt>
                <c:pt idx="29">
                  <c:v>37</c:v>
                </c:pt>
                <c:pt idx="30">
                  <c:v>32</c:v>
                </c:pt>
              </c:numCache>
            </c:numRef>
          </c:xVal>
          <c:yVal>
            <c:numRef>
              <c:f>'Example-Solver'!$C$7:$C$37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0-48FB-A1D7-E1E93E0A7F88}"/>
            </c:ext>
          </c:extLst>
        </c:ser>
        <c:ser>
          <c:idx val="1"/>
          <c:order val="1"/>
          <c:tx>
            <c:strRef>
              <c:f>'Example-Solver'!$D$6</c:f>
              <c:strCache>
                <c:ptCount val="1"/>
                <c:pt idx="0">
                  <c:v>Pr[y(xi) = 1]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'Example-Solver'!$B$7:$B$37</c:f>
              <c:numCache>
                <c:formatCode>General</c:formatCode>
                <c:ptCount val="31"/>
                <c:pt idx="0">
                  <c:v>64</c:v>
                </c:pt>
                <c:pt idx="1">
                  <c:v>67</c:v>
                </c:pt>
                <c:pt idx="2">
                  <c:v>52</c:v>
                </c:pt>
                <c:pt idx="3">
                  <c:v>77</c:v>
                </c:pt>
                <c:pt idx="4">
                  <c:v>56</c:v>
                </c:pt>
                <c:pt idx="5">
                  <c:v>33</c:v>
                </c:pt>
                <c:pt idx="6">
                  <c:v>35</c:v>
                </c:pt>
                <c:pt idx="7">
                  <c:v>56</c:v>
                </c:pt>
                <c:pt idx="8">
                  <c:v>67</c:v>
                </c:pt>
                <c:pt idx="9">
                  <c:v>57</c:v>
                </c:pt>
                <c:pt idx="10">
                  <c:v>24</c:v>
                </c:pt>
                <c:pt idx="11">
                  <c:v>41</c:v>
                </c:pt>
                <c:pt idx="12">
                  <c:v>58</c:v>
                </c:pt>
                <c:pt idx="13">
                  <c:v>48</c:v>
                </c:pt>
                <c:pt idx="14">
                  <c:v>52</c:v>
                </c:pt>
                <c:pt idx="15">
                  <c:v>57</c:v>
                </c:pt>
                <c:pt idx="16">
                  <c:v>29</c:v>
                </c:pt>
                <c:pt idx="17">
                  <c:v>68</c:v>
                </c:pt>
                <c:pt idx="18">
                  <c:v>70</c:v>
                </c:pt>
                <c:pt idx="19">
                  <c:v>62</c:v>
                </c:pt>
                <c:pt idx="20">
                  <c:v>57</c:v>
                </c:pt>
                <c:pt idx="21">
                  <c:v>67</c:v>
                </c:pt>
                <c:pt idx="22">
                  <c:v>45</c:v>
                </c:pt>
                <c:pt idx="23">
                  <c:v>45</c:v>
                </c:pt>
                <c:pt idx="24">
                  <c:v>74</c:v>
                </c:pt>
                <c:pt idx="25">
                  <c:v>62</c:v>
                </c:pt>
                <c:pt idx="26">
                  <c:v>34</c:v>
                </c:pt>
                <c:pt idx="27">
                  <c:v>22</c:v>
                </c:pt>
                <c:pt idx="28">
                  <c:v>54</c:v>
                </c:pt>
                <c:pt idx="29">
                  <c:v>37</c:v>
                </c:pt>
                <c:pt idx="30">
                  <c:v>32</c:v>
                </c:pt>
              </c:numCache>
            </c:numRef>
          </c:xVal>
          <c:yVal>
            <c:numRef>
              <c:f>'Example-Solver'!$D$7:$D$37</c:f>
              <c:numCache>
                <c:formatCode>0.0000</c:formatCode>
                <c:ptCount val="31"/>
                <c:pt idx="0">
                  <c:v>0.96579487565076183</c:v>
                </c:pt>
                <c:pt idx="1">
                  <c:v>0.98270443010200903</c:v>
                </c:pt>
                <c:pt idx="2">
                  <c:v>0.63261414524286108</c:v>
                </c:pt>
                <c:pt idx="3">
                  <c:v>0.99829212834815195</c:v>
                </c:pt>
                <c:pt idx="4">
                  <c:v>0.8139409918089302</c:v>
                </c:pt>
                <c:pt idx="5">
                  <c:v>2.0127449155122525E-2</c:v>
                </c:pt>
                <c:pt idx="6">
                  <c:v>3.1702310678397225E-2</c:v>
                </c:pt>
                <c:pt idx="7">
                  <c:v>0.8139409918089302</c:v>
                </c:pt>
                <c:pt idx="8">
                  <c:v>0.98270443010200903</c:v>
                </c:pt>
                <c:pt idx="9">
                  <c:v>0.84669589119387412</c:v>
                </c:pt>
                <c:pt idx="10">
                  <c:v>2.5144489232116519E-3</c:v>
                </c:pt>
                <c:pt idx="11">
                  <c:v>0.11705841081990527</c:v>
                </c:pt>
                <c:pt idx="12">
                  <c:v>0.8745730163205031</c:v>
                </c:pt>
                <c:pt idx="13">
                  <c:v>0.40397538949317141</c:v>
                </c:pt>
                <c:pt idx="14">
                  <c:v>0.63261414524286108</c:v>
                </c:pt>
                <c:pt idx="15">
                  <c:v>0.84669589119387412</c:v>
                </c:pt>
                <c:pt idx="16">
                  <c:v>8.0204019620544447E-3</c:v>
                </c:pt>
                <c:pt idx="17">
                  <c:v>0.98625109774115738</c:v>
                </c:pt>
                <c:pt idx="18">
                  <c:v>0.99132966750195906</c:v>
                </c:pt>
                <c:pt idx="19">
                  <c:v>0.94656572427762031</c:v>
                </c:pt>
                <c:pt idx="20">
                  <c:v>0.84669589119387412</c:v>
                </c:pt>
                <c:pt idx="21">
                  <c:v>0.98270443010200903</c:v>
                </c:pt>
                <c:pt idx="22">
                  <c:v>0.25195549690281671</c:v>
                </c:pt>
                <c:pt idx="23">
                  <c:v>0.25195549690281671</c:v>
                </c:pt>
                <c:pt idx="24">
                  <c:v>0.99656916885195801</c:v>
                </c:pt>
                <c:pt idx="25">
                  <c:v>0.94656572427762031</c:v>
                </c:pt>
                <c:pt idx="26">
                  <c:v>2.5277355695361794E-2</c:v>
                </c:pt>
                <c:pt idx="27">
                  <c:v>1.5790178079647926E-3</c:v>
                </c:pt>
                <c:pt idx="28">
                  <c:v>0.73294890781093602</c:v>
                </c:pt>
                <c:pt idx="29">
                  <c:v>4.9596705730199565E-2</c:v>
                </c:pt>
                <c:pt idx="30">
                  <c:v>1.6009530663531977E-2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E0-48FB-A1D7-E1E93E0A7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24832"/>
        <c:axId val="-1622023200"/>
      </c:scatterChart>
      <c:valAx>
        <c:axId val="-162202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3200"/>
        <c:crosses val="autoZero"/>
        <c:crossBetween val="midCat"/>
      </c:valAx>
      <c:valAx>
        <c:axId val="-16220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'Example-Base'!$C$5</c:f>
              <c:strCache>
                <c:ptCount val="1"/>
                <c:pt idx="0">
                  <c:v>Purchased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'Example-Base'!$B$6:$B$36</c:f>
              <c:numCache>
                <c:formatCode>General</c:formatCode>
                <c:ptCount val="31"/>
                <c:pt idx="0">
                  <c:v>64</c:v>
                </c:pt>
                <c:pt idx="1">
                  <c:v>67</c:v>
                </c:pt>
                <c:pt idx="2">
                  <c:v>52</c:v>
                </c:pt>
                <c:pt idx="3">
                  <c:v>77</c:v>
                </c:pt>
                <c:pt idx="4">
                  <c:v>56</c:v>
                </c:pt>
                <c:pt idx="5">
                  <c:v>33</c:v>
                </c:pt>
                <c:pt idx="6">
                  <c:v>35</c:v>
                </c:pt>
                <c:pt idx="7">
                  <c:v>56</c:v>
                </c:pt>
                <c:pt idx="8">
                  <c:v>67</c:v>
                </c:pt>
                <c:pt idx="9">
                  <c:v>57</c:v>
                </c:pt>
                <c:pt idx="10">
                  <c:v>24</c:v>
                </c:pt>
                <c:pt idx="11">
                  <c:v>41</c:v>
                </c:pt>
                <c:pt idx="12">
                  <c:v>58</c:v>
                </c:pt>
                <c:pt idx="13">
                  <c:v>48</c:v>
                </c:pt>
                <c:pt idx="14">
                  <c:v>52</c:v>
                </c:pt>
                <c:pt idx="15">
                  <c:v>57</c:v>
                </c:pt>
                <c:pt idx="16">
                  <c:v>29</c:v>
                </c:pt>
                <c:pt idx="17">
                  <c:v>68</c:v>
                </c:pt>
                <c:pt idx="18">
                  <c:v>70</c:v>
                </c:pt>
                <c:pt idx="19">
                  <c:v>62</c:v>
                </c:pt>
                <c:pt idx="20">
                  <c:v>57</c:v>
                </c:pt>
                <c:pt idx="21">
                  <c:v>67</c:v>
                </c:pt>
                <c:pt idx="22">
                  <c:v>45</c:v>
                </c:pt>
                <c:pt idx="23">
                  <c:v>45</c:v>
                </c:pt>
                <c:pt idx="24">
                  <c:v>74</c:v>
                </c:pt>
                <c:pt idx="25">
                  <c:v>62</c:v>
                </c:pt>
                <c:pt idx="26">
                  <c:v>34</c:v>
                </c:pt>
                <c:pt idx="27">
                  <c:v>22</c:v>
                </c:pt>
                <c:pt idx="28">
                  <c:v>54</c:v>
                </c:pt>
                <c:pt idx="29">
                  <c:v>37</c:v>
                </c:pt>
                <c:pt idx="30">
                  <c:v>32</c:v>
                </c:pt>
              </c:numCache>
            </c:numRef>
          </c:xVal>
          <c:yVal>
            <c:numRef>
              <c:f>'Example-Base'!$C$6:$C$36</c:f>
              <c:numCache>
                <c:formatCode>General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FE-4984-8193-1B29D2DE270F}"/>
            </c:ext>
          </c:extLst>
        </c:ser>
        <c:ser>
          <c:idx val="1"/>
          <c:order val="1"/>
          <c:tx>
            <c:strRef>
              <c:f>'Example-Base'!$D$5</c:f>
              <c:strCache>
                <c:ptCount val="1"/>
                <c:pt idx="0">
                  <c:v>Pr[y(xi) = 1]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'Example-Base'!$B$6:$B$36</c:f>
              <c:numCache>
                <c:formatCode>General</c:formatCode>
                <c:ptCount val="31"/>
                <c:pt idx="0">
                  <c:v>64</c:v>
                </c:pt>
                <c:pt idx="1">
                  <c:v>67</c:v>
                </c:pt>
                <c:pt idx="2">
                  <c:v>52</c:v>
                </c:pt>
                <c:pt idx="3">
                  <c:v>77</c:v>
                </c:pt>
                <c:pt idx="4">
                  <c:v>56</c:v>
                </c:pt>
                <c:pt idx="5">
                  <c:v>33</c:v>
                </c:pt>
                <c:pt idx="6">
                  <c:v>35</c:v>
                </c:pt>
                <c:pt idx="7">
                  <c:v>56</c:v>
                </c:pt>
                <c:pt idx="8">
                  <c:v>67</c:v>
                </c:pt>
                <c:pt idx="9">
                  <c:v>57</c:v>
                </c:pt>
                <c:pt idx="10">
                  <c:v>24</c:v>
                </c:pt>
                <c:pt idx="11">
                  <c:v>41</c:v>
                </c:pt>
                <c:pt idx="12">
                  <c:v>58</c:v>
                </c:pt>
                <c:pt idx="13">
                  <c:v>48</c:v>
                </c:pt>
                <c:pt idx="14">
                  <c:v>52</c:v>
                </c:pt>
                <c:pt idx="15">
                  <c:v>57</c:v>
                </c:pt>
                <c:pt idx="16">
                  <c:v>29</c:v>
                </c:pt>
                <c:pt idx="17">
                  <c:v>68</c:v>
                </c:pt>
                <c:pt idx="18">
                  <c:v>70</c:v>
                </c:pt>
                <c:pt idx="19">
                  <c:v>62</c:v>
                </c:pt>
                <c:pt idx="20">
                  <c:v>57</c:v>
                </c:pt>
                <c:pt idx="21">
                  <c:v>67</c:v>
                </c:pt>
                <c:pt idx="22">
                  <c:v>45</c:v>
                </c:pt>
                <c:pt idx="23">
                  <c:v>45</c:v>
                </c:pt>
                <c:pt idx="24">
                  <c:v>74</c:v>
                </c:pt>
                <c:pt idx="25">
                  <c:v>62</c:v>
                </c:pt>
                <c:pt idx="26">
                  <c:v>34</c:v>
                </c:pt>
                <c:pt idx="27">
                  <c:v>22</c:v>
                </c:pt>
                <c:pt idx="28">
                  <c:v>54</c:v>
                </c:pt>
                <c:pt idx="29">
                  <c:v>37</c:v>
                </c:pt>
                <c:pt idx="30">
                  <c:v>32</c:v>
                </c:pt>
              </c:numCache>
            </c:numRef>
          </c:xVal>
          <c:yVal>
            <c:numRef>
              <c:f>'Example-Base'!$D$6:$D$36</c:f>
              <c:numCache>
                <c:formatCode>0.0000</c:formatCode>
                <c:ptCount val="31"/>
                <c:pt idx="0">
                  <c:v>0.58064516526429566</c:v>
                </c:pt>
                <c:pt idx="1">
                  <c:v>0.58064516526429566</c:v>
                </c:pt>
                <c:pt idx="2">
                  <c:v>0.58064516526429566</c:v>
                </c:pt>
                <c:pt idx="3">
                  <c:v>0.58064516526429566</c:v>
                </c:pt>
                <c:pt idx="4">
                  <c:v>0.58064516526429566</c:v>
                </c:pt>
                <c:pt idx="5">
                  <c:v>0.58064516526429566</c:v>
                </c:pt>
                <c:pt idx="6">
                  <c:v>0.58064516526429566</c:v>
                </c:pt>
                <c:pt idx="7">
                  <c:v>0.58064516526429566</c:v>
                </c:pt>
                <c:pt idx="8">
                  <c:v>0.58064516526429566</c:v>
                </c:pt>
                <c:pt idx="9">
                  <c:v>0.58064516526429566</c:v>
                </c:pt>
                <c:pt idx="10">
                  <c:v>0.58064516526429566</c:v>
                </c:pt>
                <c:pt idx="11">
                  <c:v>0.58064516526429566</c:v>
                </c:pt>
                <c:pt idx="12">
                  <c:v>0.58064516526429566</c:v>
                </c:pt>
                <c:pt idx="13">
                  <c:v>0.58064516526429566</c:v>
                </c:pt>
                <c:pt idx="14">
                  <c:v>0.58064516526429566</c:v>
                </c:pt>
                <c:pt idx="15">
                  <c:v>0.58064516526429566</c:v>
                </c:pt>
                <c:pt idx="16">
                  <c:v>0.58064516526429566</c:v>
                </c:pt>
                <c:pt idx="17">
                  <c:v>0.58064516526429566</c:v>
                </c:pt>
                <c:pt idx="18">
                  <c:v>0.58064516526429566</c:v>
                </c:pt>
                <c:pt idx="19">
                  <c:v>0.58064516526429566</c:v>
                </c:pt>
                <c:pt idx="20">
                  <c:v>0.58064516526429566</c:v>
                </c:pt>
                <c:pt idx="21">
                  <c:v>0.58064516526429566</c:v>
                </c:pt>
                <c:pt idx="22">
                  <c:v>0.58064516526429566</c:v>
                </c:pt>
                <c:pt idx="23">
                  <c:v>0.58064516526429566</c:v>
                </c:pt>
                <c:pt idx="24">
                  <c:v>0.58064516526429566</c:v>
                </c:pt>
                <c:pt idx="25">
                  <c:v>0.58064516526429566</c:v>
                </c:pt>
                <c:pt idx="26">
                  <c:v>0.58064516526429566</c:v>
                </c:pt>
                <c:pt idx="27">
                  <c:v>0.58064516526429566</c:v>
                </c:pt>
                <c:pt idx="28">
                  <c:v>0.58064516526429566</c:v>
                </c:pt>
                <c:pt idx="29">
                  <c:v>0.58064516526429566</c:v>
                </c:pt>
                <c:pt idx="30">
                  <c:v>0.58064516526429566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FE-4984-8193-1B29D2DE2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4602128"/>
        <c:axId val="-1954602672"/>
      </c:scatterChart>
      <c:valAx>
        <c:axId val="-195460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54602672"/>
        <c:crosses val="autoZero"/>
        <c:crossBetween val="midCat"/>
      </c:valAx>
      <c:valAx>
        <c:axId val="-195460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5460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Probability of getting served on time with</a:t>
            </a:r>
            <a:r>
              <a:rPr lang="en-US" baseline="0"/>
              <a:t> # of cars ahead</a:t>
            </a:r>
          </a:p>
        </c:rich>
      </c:tx>
      <c:layout>
        <c:manualLayout>
          <c:xMode val="edge"/>
          <c:yMode val="edge"/>
          <c:x val="0.13793044619422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 No Relationship Case'!$L$9:$L$17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'InClass No Relationship Case'!$M$9:$M$17</c:f>
              <c:numCache>
                <c:formatCode>General</c:formatCode>
                <c:ptCount val="9"/>
                <c:pt idx="0">
                  <c:v>0.88352889942142032</c:v>
                </c:pt>
                <c:pt idx="1">
                  <c:v>0.88352889942142032</c:v>
                </c:pt>
                <c:pt idx="2">
                  <c:v>0.88352889942142032</c:v>
                </c:pt>
                <c:pt idx="3">
                  <c:v>0.88352889942142032</c:v>
                </c:pt>
                <c:pt idx="4">
                  <c:v>0.88352889942142032</c:v>
                </c:pt>
                <c:pt idx="5">
                  <c:v>0.88352889942142032</c:v>
                </c:pt>
                <c:pt idx="6">
                  <c:v>0.88352889942142032</c:v>
                </c:pt>
                <c:pt idx="7">
                  <c:v>0.88352889942142032</c:v>
                </c:pt>
                <c:pt idx="8">
                  <c:v>0.88352889942142032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F-4CFB-BA3A-53EF901B1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661360"/>
        <c:axId val="382653816"/>
      </c:scatterChart>
      <c:valAx>
        <c:axId val="38266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53816"/>
        <c:crosses val="autoZero"/>
        <c:crossBetween val="midCat"/>
      </c:valAx>
      <c:valAx>
        <c:axId val="38265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6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Probability of getting served on time with</a:t>
            </a:r>
            <a:r>
              <a:rPr lang="en-US" baseline="0"/>
              <a:t> # of cars ahead</a:t>
            </a:r>
          </a:p>
        </c:rich>
      </c:tx>
      <c:layout>
        <c:manualLayout>
          <c:xMode val="edge"/>
          <c:yMode val="edge"/>
          <c:x val="0.1379304461942257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InClass!$L$9:$L$17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InClass!$M$9:$M$17</c:f>
              <c:numCache>
                <c:formatCode>General</c:formatCode>
                <c:ptCount val="9"/>
                <c:pt idx="0">
                  <c:v>0.81360180124690795</c:v>
                </c:pt>
                <c:pt idx="1">
                  <c:v>0.71522358097440264</c:v>
                </c:pt>
                <c:pt idx="2">
                  <c:v>0.59102295157913831</c:v>
                </c:pt>
                <c:pt idx="3">
                  <c:v>0.45400559928853618</c:v>
                </c:pt>
                <c:pt idx="4">
                  <c:v>0.32361800107019434</c:v>
                </c:pt>
                <c:pt idx="5">
                  <c:v>0.21587156622379258</c:v>
                </c:pt>
                <c:pt idx="6">
                  <c:v>0.13674595053058508</c:v>
                </c:pt>
                <c:pt idx="7">
                  <c:v>8.3533390057583479E-2</c:v>
                </c:pt>
                <c:pt idx="8">
                  <c:v>4.983234367909558E-2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5F-4F5E-8DDF-9A5F5E4F5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661360"/>
        <c:axId val="382653816"/>
      </c:scatterChart>
      <c:valAx>
        <c:axId val="38266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53816"/>
        <c:crosses val="autoZero"/>
        <c:crossBetween val="midCat"/>
      </c:valAx>
      <c:valAx>
        <c:axId val="38265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66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'InClass-Solver'!$D$8</c:f>
              <c:strCache>
                <c:ptCount val="1"/>
                <c:pt idx="0">
                  <c:v>On 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'InClass-Solver'!$B$9:$B$39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'InClass-Solver'!$D$9:$D$39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8E-4EB4-B7CC-8FF7CFEDC6E5}"/>
            </c:ext>
          </c:extLst>
        </c:ser>
        <c:ser>
          <c:idx val="1"/>
          <c:order val="1"/>
          <c:tx>
            <c:strRef>
              <c:f>'InClass-Solver'!$E$8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'InClass-Solver'!$B$9:$B$39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'InClass-Solver'!$E$9:$E$39</c:f>
              <c:numCache>
                <c:formatCode>0.0000</c:formatCode>
                <c:ptCount val="31"/>
                <c:pt idx="0">
                  <c:v>0.45400559928853618</c:v>
                </c:pt>
                <c:pt idx="1">
                  <c:v>0.45400559928853618</c:v>
                </c:pt>
                <c:pt idx="2">
                  <c:v>0.32361800107019434</c:v>
                </c:pt>
                <c:pt idx="3">
                  <c:v>0.45400559928853618</c:v>
                </c:pt>
                <c:pt idx="4">
                  <c:v>4.983234367909558E-2</c:v>
                </c:pt>
                <c:pt idx="5">
                  <c:v>0.21587156622379258</c:v>
                </c:pt>
                <c:pt idx="6">
                  <c:v>0.59102295157913831</c:v>
                </c:pt>
                <c:pt idx="7">
                  <c:v>0.71522358097440264</c:v>
                </c:pt>
                <c:pt idx="8">
                  <c:v>4.983234367909558E-2</c:v>
                </c:pt>
                <c:pt idx="9">
                  <c:v>0.59102295157913831</c:v>
                </c:pt>
                <c:pt idx="10">
                  <c:v>0.13674595053058508</c:v>
                </c:pt>
                <c:pt idx="11">
                  <c:v>0.59102295157913831</c:v>
                </c:pt>
                <c:pt idx="12">
                  <c:v>0.13674595053058508</c:v>
                </c:pt>
                <c:pt idx="13">
                  <c:v>0.81360180124690795</c:v>
                </c:pt>
                <c:pt idx="14">
                  <c:v>0.45400559928853618</c:v>
                </c:pt>
                <c:pt idx="15">
                  <c:v>0.71522358097440264</c:v>
                </c:pt>
                <c:pt idx="16">
                  <c:v>0.32361800107019434</c:v>
                </c:pt>
                <c:pt idx="17">
                  <c:v>0.59102295157913831</c:v>
                </c:pt>
                <c:pt idx="18">
                  <c:v>0.13674595053058508</c:v>
                </c:pt>
                <c:pt idx="19">
                  <c:v>0.45400559928853618</c:v>
                </c:pt>
                <c:pt idx="20">
                  <c:v>0.71522358097440264</c:v>
                </c:pt>
                <c:pt idx="21">
                  <c:v>0.13674595053058508</c:v>
                </c:pt>
                <c:pt idx="22">
                  <c:v>0.32361800107019434</c:v>
                </c:pt>
                <c:pt idx="23">
                  <c:v>0.13674595053058508</c:v>
                </c:pt>
                <c:pt idx="24">
                  <c:v>0.71522358097440264</c:v>
                </c:pt>
                <c:pt idx="25">
                  <c:v>0.45400559928853618</c:v>
                </c:pt>
                <c:pt idx="26">
                  <c:v>0.13674595053058508</c:v>
                </c:pt>
                <c:pt idx="27">
                  <c:v>0.59102295157913831</c:v>
                </c:pt>
                <c:pt idx="28">
                  <c:v>0.21587156622379258</c:v>
                </c:pt>
                <c:pt idx="29">
                  <c:v>0.32361800107019434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8E-4EB4-B7CC-8FF7CFEDC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19936"/>
        <c:axId val="-1622021024"/>
      </c:scatterChart>
      <c:valAx>
        <c:axId val="-162201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1024"/>
        <c:crosses val="autoZero"/>
        <c:crossBetween val="midCat"/>
      </c:valAx>
      <c:valAx>
        <c:axId val="-1622021024"/>
        <c:scaling>
          <c:orientation val="minMax"/>
          <c:max val="1.4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1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'InClass2-Solver'!$E$8</c:f>
              <c:strCache>
                <c:ptCount val="1"/>
                <c:pt idx="0">
                  <c:v>On 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'InClass2-Solver'!$B$9:$B$39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'InClass2-Solver'!$E$9:$E$39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D-4DEA-9221-E93EF2C9E57A}"/>
            </c:ext>
          </c:extLst>
        </c:ser>
        <c:ser>
          <c:idx val="1"/>
          <c:order val="1"/>
          <c:tx>
            <c:strRef>
              <c:f>'InClass2-Solver'!$F$8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'InClass2-Solver'!$B$9:$B$39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'InClass2-Solver'!$F$9:$F$39</c:f>
              <c:numCache>
                <c:formatCode>0.0000</c:formatCode>
                <c:ptCount val="31"/>
                <c:pt idx="0">
                  <c:v>0.22383873118776695</c:v>
                </c:pt>
                <c:pt idx="1">
                  <c:v>0.4462442007869718</c:v>
                </c:pt>
                <c:pt idx="2">
                  <c:v>0.28843816186870724</c:v>
                </c:pt>
                <c:pt idx="3">
                  <c:v>0.6924758118718134</c:v>
                </c:pt>
                <c:pt idx="4">
                  <c:v>2.5296230447845767E-2</c:v>
                </c:pt>
                <c:pt idx="5">
                  <c:v>0.36296256096116614</c:v>
                </c:pt>
                <c:pt idx="6">
                  <c:v>0.3644016080751471</c:v>
                </c:pt>
                <c:pt idx="7">
                  <c:v>0.65579308226611699</c:v>
                </c:pt>
                <c:pt idx="8">
                  <c:v>2.5296230447845767E-2</c:v>
                </c:pt>
                <c:pt idx="9">
                  <c:v>0.81740195696712292</c:v>
                </c:pt>
                <c:pt idx="10">
                  <c:v>9.3026409400310026E-2</c:v>
                </c:pt>
                <c:pt idx="11">
                  <c:v>0.61568352202787646</c:v>
                </c:pt>
                <c:pt idx="12">
                  <c:v>9.3026409400310026E-2</c:v>
                </c:pt>
                <c:pt idx="13">
                  <c:v>0.86359965151039242</c:v>
                </c:pt>
                <c:pt idx="14">
                  <c:v>0.4462442007869718</c:v>
                </c:pt>
                <c:pt idx="15">
                  <c:v>0.76104019993882799</c:v>
                </c:pt>
                <c:pt idx="16">
                  <c:v>0.53110861958833622</c:v>
                </c:pt>
                <c:pt idx="17">
                  <c:v>0.3644016080751471</c:v>
                </c:pt>
                <c:pt idx="18">
                  <c:v>0.22276023150832461</c:v>
                </c:pt>
                <c:pt idx="19">
                  <c:v>0.4462442007869718</c:v>
                </c:pt>
                <c:pt idx="20">
                  <c:v>0.76104019993882799</c:v>
                </c:pt>
                <c:pt idx="21">
                  <c:v>9.3026409400310026E-2</c:v>
                </c:pt>
                <c:pt idx="22">
                  <c:v>0.1951684267733724</c:v>
                </c:pt>
                <c:pt idx="23">
                  <c:v>9.3026409400310026E-2</c:v>
                </c:pt>
                <c:pt idx="24">
                  <c:v>0.53265689985118414</c:v>
                </c:pt>
                <c:pt idx="25">
                  <c:v>0.32527242243282622</c:v>
                </c:pt>
                <c:pt idx="26">
                  <c:v>5.7811457797900652E-2</c:v>
                </c:pt>
                <c:pt idx="27">
                  <c:v>0.81740195696712292</c:v>
                </c:pt>
                <c:pt idx="28">
                  <c:v>0.25420357593019749</c:v>
                </c:pt>
                <c:pt idx="29">
                  <c:v>0.53110861958833622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D-4DEA-9221-E93EF2C9E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24288"/>
        <c:axId val="-1622028096"/>
      </c:scatterChart>
      <c:valAx>
        <c:axId val="-1622024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8096"/>
        <c:crosses val="autoZero"/>
        <c:crossBetween val="midCat"/>
      </c:valAx>
      <c:valAx>
        <c:axId val="-162202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'InClass2-Solver'!$E$8</c:f>
              <c:strCache>
                <c:ptCount val="1"/>
                <c:pt idx="0">
                  <c:v>On 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'InClass2-Solver'!$C$9:$C$39</c:f>
              <c:numCache>
                <c:formatCode>General</c:formatCode>
                <c:ptCount val="31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4</c:v>
                </c:pt>
                <c:pt idx="18">
                  <c:v>8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8</c:v>
                </c:pt>
              </c:numCache>
            </c:numRef>
          </c:xVal>
          <c:yVal>
            <c:numRef>
              <c:f>'InClass2-Solver'!$E$9:$E$39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11-4A04-8859-28CFAA3EAF66}"/>
            </c:ext>
          </c:extLst>
        </c:ser>
        <c:ser>
          <c:idx val="1"/>
          <c:order val="1"/>
          <c:tx>
            <c:strRef>
              <c:f>'InClass2-Solver'!$F$8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'InClass2-Solver'!$C$9:$C$39</c:f>
              <c:numCache>
                <c:formatCode>General</c:formatCode>
                <c:ptCount val="31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4</c:v>
                </c:pt>
                <c:pt idx="18">
                  <c:v>8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8</c:v>
                </c:pt>
              </c:numCache>
            </c:numRef>
          </c:xVal>
          <c:yVal>
            <c:numRef>
              <c:f>'InClass2-Solver'!$F$9:$F$39</c:f>
              <c:numCache>
                <c:formatCode>0.0000</c:formatCode>
                <c:ptCount val="31"/>
                <c:pt idx="0">
                  <c:v>0.22383873118776695</c:v>
                </c:pt>
                <c:pt idx="1">
                  <c:v>0.4462442007869718</c:v>
                </c:pt>
                <c:pt idx="2">
                  <c:v>0.28843816186870724</c:v>
                </c:pt>
                <c:pt idx="3">
                  <c:v>0.6924758118718134</c:v>
                </c:pt>
                <c:pt idx="4">
                  <c:v>2.5296230447845767E-2</c:v>
                </c:pt>
                <c:pt idx="5">
                  <c:v>0.36296256096116614</c:v>
                </c:pt>
                <c:pt idx="6">
                  <c:v>0.3644016080751471</c:v>
                </c:pt>
                <c:pt idx="7">
                  <c:v>0.65579308226611699</c:v>
                </c:pt>
                <c:pt idx="8">
                  <c:v>2.5296230447845767E-2</c:v>
                </c:pt>
                <c:pt idx="9">
                  <c:v>0.81740195696712292</c:v>
                </c:pt>
                <c:pt idx="10">
                  <c:v>9.3026409400310026E-2</c:v>
                </c:pt>
                <c:pt idx="11">
                  <c:v>0.61568352202787646</c:v>
                </c:pt>
                <c:pt idx="12">
                  <c:v>9.3026409400310026E-2</c:v>
                </c:pt>
                <c:pt idx="13">
                  <c:v>0.86359965151039242</c:v>
                </c:pt>
                <c:pt idx="14">
                  <c:v>0.4462442007869718</c:v>
                </c:pt>
                <c:pt idx="15">
                  <c:v>0.76104019993882799</c:v>
                </c:pt>
                <c:pt idx="16">
                  <c:v>0.53110861958833622</c:v>
                </c:pt>
                <c:pt idx="17">
                  <c:v>0.3644016080751471</c:v>
                </c:pt>
                <c:pt idx="18">
                  <c:v>0.22276023150832461</c:v>
                </c:pt>
                <c:pt idx="19">
                  <c:v>0.4462442007869718</c:v>
                </c:pt>
                <c:pt idx="20">
                  <c:v>0.76104019993882799</c:v>
                </c:pt>
                <c:pt idx="21">
                  <c:v>9.3026409400310026E-2</c:v>
                </c:pt>
                <c:pt idx="22">
                  <c:v>0.1951684267733724</c:v>
                </c:pt>
                <c:pt idx="23">
                  <c:v>9.3026409400310026E-2</c:v>
                </c:pt>
                <c:pt idx="24">
                  <c:v>0.53265689985118414</c:v>
                </c:pt>
                <c:pt idx="25">
                  <c:v>0.32527242243282622</c:v>
                </c:pt>
                <c:pt idx="26">
                  <c:v>5.7811457797900652E-2</c:v>
                </c:pt>
                <c:pt idx="27">
                  <c:v>0.81740195696712292</c:v>
                </c:pt>
                <c:pt idx="28">
                  <c:v>0.25420357593019749</c:v>
                </c:pt>
                <c:pt idx="29">
                  <c:v>0.53110861958833622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11-4A04-8859-28CFAA3EA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19392"/>
        <c:axId val="-1622018848"/>
      </c:scatterChart>
      <c:valAx>
        <c:axId val="-162201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18848"/>
        <c:crosses val="autoZero"/>
        <c:crossBetween val="midCat"/>
      </c:valAx>
      <c:valAx>
        <c:axId val="-162201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1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strRef>
              <c:f>'InClass3-Solver'!$F$8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'InClass3-Solver'!$B$9:$B$39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41-49D8-9CBB-17B83E8FD4B0}"/>
            </c:ext>
          </c:extLst>
        </c:ser>
        <c:ser>
          <c:idx val="3"/>
          <c:order val="1"/>
          <c:tx>
            <c:strRef>
              <c:f>'InClass3-Solver'!$G$8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'InClass3-Solver'!$B$9:$B$39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'InClass3-Solver'!$G$9:$G$39</c:f>
              <c:numCache>
                <c:formatCode>0.0000</c:formatCode>
                <c:ptCount val="31"/>
                <c:pt idx="0">
                  <c:v>0.16887493806063084</c:v>
                </c:pt>
                <c:pt idx="1">
                  <c:v>0.51012592961139325</c:v>
                </c:pt>
                <c:pt idx="2">
                  <c:v>0.44291357679075272</c:v>
                </c:pt>
                <c:pt idx="3">
                  <c:v>0.83166137531387452</c:v>
                </c:pt>
                <c:pt idx="4">
                  <c:v>2.0252975486240041E-2</c:v>
                </c:pt>
                <c:pt idx="5">
                  <c:v>0.32413233083770215</c:v>
                </c:pt>
                <c:pt idx="6">
                  <c:v>0.40398720036148805</c:v>
                </c:pt>
                <c:pt idx="7">
                  <c:v>0.85197145192775692</c:v>
                </c:pt>
                <c:pt idx="8">
                  <c:v>1.5686248431196936E-2</c:v>
                </c:pt>
                <c:pt idx="9">
                  <c:v>0.76205743048301922</c:v>
                </c:pt>
                <c:pt idx="10">
                  <c:v>0.22083603386263381</c:v>
                </c:pt>
                <c:pt idx="11">
                  <c:v>0.62693029949611212</c:v>
                </c:pt>
                <c:pt idx="12">
                  <c:v>0.19096129195956951</c:v>
                </c:pt>
                <c:pt idx="13">
                  <c:v>0.97478401891276067</c:v>
                </c:pt>
                <c:pt idx="14">
                  <c:v>0.50369453198368908</c:v>
                </c:pt>
                <c:pt idx="15">
                  <c:v>0.69310076878899418</c:v>
                </c:pt>
                <c:pt idx="16">
                  <c:v>0.58449246984386027</c:v>
                </c:pt>
                <c:pt idx="17">
                  <c:v>0.33169955070275037</c:v>
                </c:pt>
                <c:pt idx="18">
                  <c:v>9.3050154278343816E-2</c:v>
                </c:pt>
                <c:pt idx="19">
                  <c:v>0.35240595845914724</c:v>
                </c:pt>
                <c:pt idx="20">
                  <c:v>0.86137248546969025</c:v>
                </c:pt>
                <c:pt idx="21">
                  <c:v>8.6832917953757763E-2</c:v>
                </c:pt>
                <c:pt idx="22">
                  <c:v>9.2667381438637383E-2</c:v>
                </c:pt>
                <c:pt idx="23">
                  <c:v>6.0553991119849479E-2</c:v>
                </c:pt>
                <c:pt idx="24">
                  <c:v>0.34539142025847142</c:v>
                </c:pt>
                <c:pt idx="25">
                  <c:v>0.19558663676883078</c:v>
                </c:pt>
                <c:pt idx="26">
                  <c:v>3.6916335588530261E-2</c:v>
                </c:pt>
                <c:pt idx="27">
                  <c:v>0.61385395397891229</c:v>
                </c:pt>
                <c:pt idx="28">
                  <c:v>0.34786003509334124</c:v>
                </c:pt>
                <c:pt idx="29">
                  <c:v>0.45534628448547626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41-49D8-9CBB-17B83E8FD4B0}"/>
            </c:ext>
          </c:extLst>
        </c:ser>
        <c:ser>
          <c:idx val="0"/>
          <c:order val="2"/>
          <c:tx>
            <c:strRef>
              <c:f>'InClass3-Solver'!$F$8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'InClass3-Solver'!$B$9:$B$39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41-49D8-9CBB-17B83E8FD4B0}"/>
            </c:ext>
          </c:extLst>
        </c:ser>
        <c:ser>
          <c:idx val="1"/>
          <c:order val="3"/>
          <c:tx>
            <c:strRef>
              <c:f>'InClass3-Solver'!$G$8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'InClass3-Solver'!$B$9:$B$39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'InClass3-Solver'!$G$9:$G$39</c:f>
              <c:numCache>
                <c:formatCode>0.0000</c:formatCode>
                <c:ptCount val="31"/>
                <c:pt idx="0">
                  <c:v>0.16887493806063084</c:v>
                </c:pt>
                <c:pt idx="1">
                  <c:v>0.51012592961139325</c:v>
                </c:pt>
                <c:pt idx="2">
                  <c:v>0.44291357679075272</c:v>
                </c:pt>
                <c:pt idx="3">
                  <c:v>0.83166137531387452</c:v>
                </c:pt>
                <c:pt idx="4">
                  <c:v>2.0252975486240041E-2</c:v>
                </c:pt>
                <c:pt idx="5">
                  <c:v>0.32413233083770215</c:v>
                </c:pt>
                <c:pt idx="6">
                  <c:v>0.40398720036148805</c:v>
                </c:pt>
                <c:pt idx="7">
                  <c:v>0.85197145192775692</c:v>
                </c:pt>
                <c:pt idx="8">
                  <c:v>1.5686248431196936E-2</c:v>
                </c:pt>
                <c:pt idx="9">
                  <c:v>0.76205743048301922</c:v>
                </c:pt>
                <c:pt idx="10">
                  <c:v>0.22083603386263381</c:v>
                </c:pt>
                <c:pt idx="11">
                  <c:v>0.62693029949611212</c:v>
                </c:pt>
                <c:pt idx="12">
                  <c:v>0.19096129195956951</c:v>
                </c:pt>
                <c:pt idx="13">
                  <c:v>0.97478401891276067</c:v>
                </c:pt>
                <c:pt idx="14">
                  <c:v>0.50369453198368908</c:v>
                </c:pt>
                <c:pt idx="15">
                  <c:v>0.69310076878899418</c:v>
                </c:pt>
                <c:pt idx="16">
                  <c:v>0.58449246984386027</c:v>
                </c:pt>
                <c:pt idx="17">
                  <c:v>0.33169955070275037</c:v>
                </c:pt>
                <c:pt idx="18">
                  <c:v>9.3050154278343816E-2</c:v>
                </c:pt>
                <c:pt idx="19">
                  <c:v>0.35240595845914724</c:v>
                </c:pt>
                <c:pt idx="20">
                  <c:v>0.86137248546969025</c:v>
                </c:pt>
                <c:pt idx="21">
                  <c:v>8.6832917953757763E-2</c:v>
                </c:pt>
                <c:pt idx="22">
                  <c:v>9.2667381438637383E-2</c:v>
                </c:pt>
                <c:pt idx="23">
                  <c:v>6.0553991119849479E-2</c:v>
                </c:pt>
                <c:pt idx="24">
                  <c:v>0.34539142025847142</c:v>
                </c:pt>
                <c:pt idx="25">
                  <c:v>0.19558663676883078</c:v>
                </c:pt>
                <c:pt idx="26">
                  <c:v>3.6916335588530261E-2</c:v>
                </c:pt>
                <c:pt idx="27">
                  <c:v>0.61385395397891229</c:v>
                </c:pt>
                <c:pt idx="28">
                  <c:v>0.34786003509334124</c:v>
                </c:pt>
                <c:pt idx="29">
                  <c:v>0.45534628448547626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41-49D8-9CBB-17B83E8FD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22112"/>
        <c:axId val="-1622022656"/>
      </c:scatterChart>
      <c:valAx>
        <c:axId val="-162202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2656"/>
        <c:crosses val="autoZero"/>
        <c:crossBetween val="midCat"/>
      </c:valAx>
      <c:valAx>
        <c:axId val="-162202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'InClass3-Solver'!$F$8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'InClass3-Solver'!$C$9:$C$39</c:f>
              <c:numCache>
                <c:formatCode>"$"#,##0.00</c:formatCode>
                <c:ptCount val="31"/>
                <c:pt idx="0">
                  <c:v>16</c:v>
                </c:pt>
                <c:pt idx="1">
                  <c:v>14.82</c:v>
                </c:pt>
                <c:pt idx="2">
                  <c:v>12.64</c:v>
                </c:pt>
                <c:pt idx="3">
                  <c:v>13.91</c:v>
                </c:pt>
                <c:pt idx="4">
                  <c:v>12.91</c:v>
                </c:pt>
                <c:pt idx="5">
                  <c:v>15.82</c:v>
                </c:pt>
                <c:pt idx="6">
                  <c:v>14.91</c:v>
                </c:pt>
                <c:pt idx="7">
                  <c:v>12.82</c:v>
                </c:pt>
                <c:pt idx="8">
                  <c:v>13.82</c:v>
                </c:pt>
                <c:pt idx="9">
                  <c:v>18.55</c:v>
                </c:pt>
                <c:pt idx="10">
                  <c:v>10</c:v>
                </c:pt>
                <c:pt idx="11">
                  <c:v>16.27</c:v>
                </c:pt>
                <c:pt idx="12">
                  <c:v>10.64</c:v>
                </c:pt>
                <c:pt idx="13">
                  <c:v>11.55</c:v>
                </c:pt>
                <c:pt idx="14">
                  <c:v>14.91</c:v>
                </c:pt>
                <c:pt idx="15">
                  <c:v>18.36</c:v>
                </c:pt>
                <c:pt idx="16">
                  <c:v>15.18</c:v>
                </c:pt>
                <c:pt idx="17">
                  <c:v>16</c:v>
                </c:pt>
                <c:pt idx="18">
                  <c:v>18.09</c:v>
                </c:pt>
                <c:pt idx="19">
                  <c:v>17.09</c:v>
                </c:pt>
                <c:pt idx="20">
                  <c:v>14.82</c:v>
                </c:pt>
                <c:pt idx="21">
                  <c:v>13.82</c:v>
                </c:pt>
                <c:pt idx="22">
                  <c:v>17.55</c:v>
                </c:pt>
                <c:pt idx="23">
                  <c:v>15.18</c:v>
                </c:pt>
                <c:pt idx="24">
                  <c:v>18.91</c:v>
                </c:pt>
                <c:pt idx="25">
                  <c:v>17.64</c:v>
                </c:pt>
                <c:pt idx="26">
                  <c:v>14.73</c:v>
                </c:pt>
                <c:pt idx="27">
                  <c:v>21</c:v>
                </c:pt>
                <c:pt idx="28">
                  <c:v>13.18</c:v>
                </c:pt>
                <c:pt idx="29">
                  <c:v>17</c:v>
                </c:pt>
              </c:numCache>
            </c:numRef>
          </c:xVal>
          <c:yVal>
            <c:numRef>
              <c:f>'InClass3-Solver'!$F$9:$F$39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20-43AA-B2B5-020278A04453}"/>
            </c:ext>
          </c:extLst>
        </c:ser>
        <c:ser>
          <c:idx val="1"/>
          <c:order val="1"/>
          <c:tx>
            <c:strRef>
              <c:f>'InClass3-Solver'!$G$8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'InClass3-Solver'!$C$9:$C$39</c:f>
              <c:numCache>
                <c:formatCode>"$"#,##0.00</c:formatCode>
                <c:ptCount val="31"/>
                <c:pt idx="0">
                  <c:v>16</c:v>
                </c:pt>
                <c:pt idx="1">
                  <c:v>14.82</c:v>
                </c:pt>
                <c:pt idx="2">
                  <c:v>12.64</c:v>
                </c:pt>
                <c:pt idx="3">
                  <c:v>13.91</c:v>
                </c:pt>
                <c:pt idx="4">
                  <c:v>12.91</c:v>
                </c:pt>
                <c:pt idx="5">
                  <c:v>15.82</c:v>
                </c:pt>
                <c:pt idx="6">
                  <c:v>14.91</c:v>
                </c:pt>
                <c:pt idx="7">
                  <c:v>12.82</c:v>
                </c:pt>
                <c:pt idx="8">
                  <c:v>13.82</c:v>
                </c:pt>
                <c:pt idx="9">
                  <c:v>18.55</c:v>
                </c:pt>
                <c:pt idx="10">
                  <c:v>10</c:v>
                </c:pt>
                <c:pt idx="11">
                  <c:v>16.27</c:v>
                </c:pt>
                <c:pt idx="12">
                  <c:v>10.64</c:v>
                </c:pt>
                <c:pt idx="13">
                  <c:v>11.55</c:v>
                </c:pt>
                <c:pt idx="14">
                  <c:v>14.91</c:v>
                </c:pt>
                <c:pt idx="15">
                  <c:v>18.36</c:v>
                </c:pt>
                <c:pt idx="16">
                  <c:v>15.18</c:v>
                </c:pt>
                <c:pt idx="17">
                  <c:v>16</c:v>
                </c:pt>
                <c:pt idx="18">
                  <c:v>18.09</c:v>
                </c:pt>
                <c:pt idx="19">
                  <c:v>17.09</c:v>
                </c:pt>
                <c:pt idx="20">
                  <c:v>14.82</c:v>
                </c:pt>
                <c:pt idx="21">
                  <c:v>13.82</c:v>
                </c:pt>
                <c:pt idx="22">
                  <c:v>17.55</c:v>
                </c:pt>
                <c:pt idx="23">
                  <c:v>15.18</c:v>
                </c:pt>
                <c:pt idx="24">
                  <c:v>18.91</c:v>
                </c:pt>
                <c:pt idx="25">
                  <c:v>17.64</c:v>
                </c:pt>
                <c:pt idx="26">
                  <c:v>14.73</c:v>
                </c:pt>
                <c:pt idx="27">
                  <c:v>21</c:v>
                </c:pt>
                <c:pt idx="28">
                  <c:v>13.18</c:v>
                </c:pt>
                <c:pt idx="29">
                  <c:v>17</c:v>
                </c:pt>
              </c:numCache>
            </c:numRef>
          </c:xVal>
          <c:yVal>
            <c:numRef>
              <c:f>'InClass3-Solver'!$G$9:$G$39</c:f>
              <c:numCache>
                <c:formatCode>0.0000</c:formatCode>
                <c:ptCount val="31"/>
                <c:pt idx="0">
                  <c:v>0.16887493806063084</c:v>
                </c:pt>
                <c:pt idx="1">
                  <c:v>0.51012592961139325</c:v>
                </c:pt>
                <c:pt idx="2">
                  <c:v>0.44291357679075272</c:v>
                </c:pt>
                <c:pt idx="3">
                  <c:v>0.83166137531387452</c:v>
                </c:pt>
                <c:pt idx="4">
                  <c:v>2.0252975486240041E-2</c:v>
                </c:pt>
                <c:pt idx="5">
                  <c:v>0.32413233083770215</c:v>
                </c:pt>
                <c:pt idx="6">
                  <c:v>0.40398720036148805</c:v>
                </c:pt>
                <c:pt idx="7">
                  <c:v>0.85197145192775692</c:v>
                </c:pt>
                <c:pt idx="8">
                  <c:v>1.5686248431196936E-2</c:v>
                </c:pt>
                <c:pt idx="9">
                  <c:v>0.76205743048301922</c:v>
                </c:pt>
                <c:pt idx="10">
                  <c:v>0.22083603386263381</c:v>
                </c:pt>
                <c:pt idx="11">
                  <c:v>0.62693029949611212</c:v>
                </c:pt>
                <c:pt idx="12">
                  <c:v>0.19096129195956951</c:v>
                </c:pt>
                <c:pt idx="13">
                  <c:v>0.97478401891276067</c:v>
                </c:pt>
                <c:pt idx="14">
                  <c:v>0.50369453198368908</c:v>
                </c:pt>
                <c:pt idx="15">
                  <c:v>0.69310076878899418</c:v>
                </c:pt>
                <c:pt idx="16">
                  <c:v>0.58449246984386027</c:v>
                </c:pt>
                <c:pt idx="17">
                  <c:v>0.33169955070275037</c:v>
                </c:pt>
                <c:pt idx="18">
                  <c:v>9.3050154278343816E-2</c:v>
                </c:pt>
                <c:pt idx="19">
                  <c:v>0.35240595845914724</c:v>
                </c:pt>
                <c:pt idx="20">
                  <c:v>0.86137248546969025</c:v>
                </c:pt>
                <c:pt idx="21">
                  <c:v>8.6832917953757763E-2</c:v>
                </c:pt>
                <c:pt idx="22">
                  <c:v>9.2667381438637383E-2</c:v>
                </c:pt>
                <c:pt idx="23">
                  <c:v>6.0553991119849479E-2</c:v>
                </c:pt>
                <c:pt idx="24">
                  <c:v>0.34539142025847142</c:v>
                </c:pt>
                <c:pt idx="25">
                  <c:v>0.19558663676883078</c:v>
                </c:pt>
                <c:pt idx="26">
                  <c:v>3.6916335588530261E-2</c:v>
                </c:pt>
                <c:pt idx="27">
                  <c:v>0.61385395397891229</c:v>
                </c:pt>
                <c:pt idx="28">
                  <c:v>0.34786003509334124</c:v>
                </c:pt>
                <c:pt idx="29">
                  <c:v>0.45534628448547626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20-43AA-B2B5-020278A04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25376"/>
        <c:axId val="-1622017216"/>
      </c:scatterChart>
      <c:valAx>
        <c:axId val="-1622025376"/>
        <c:scaling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17216"/>
        <c:crosses val="autoZero"/>
        <c:crossBetween val="midCat"/>
      </c:valAx>
      <c:valAx>
        <c:axId val="-162201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'InClass3-Solver'!$F$8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'InClass3-Solver'!$D$9:$D$39</c:f>
              <c:numCache>
                <c:formatCode>General</c:formatCode>
                <c:ptCount val="31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4</c:v>
                </c:pt>
                <c:pt idx="18">
                  <c:v>8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8</c:v>
                </c:pt>
              </c:numCache>
            </c:numRef>
          </c:xVal>
          <c:yVal>
            <c:numRef>
              <c:f>'InClass3-Solver'!$F$9:$F$39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2A-4792-ADC7-C61A9AE92122}"/>
            </c:ext>
          </c:extLst>
        </c:ser>
        <c:ser>
          <c:idx val="1"/>
          <c:order val="1"/>
          <c:tx>
            <c:strRef>
              <c:f>'InClass3-Solver'!$G$8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'InClass3-Solver'!$D$9:$D$39</c:f>
              <c:numCache>
                <c:formatCode>General</c:formatCode>
                <c:ptCount val="31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4</c:v>
                </c:pt>
                <c:pt idx="18">
                  <c:v>8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8</c:v>
                </c:pt>
              </c:numCache>
            </c:numRef>
          </c:xVal>
          <c:yVal>
            <c:numRef>
              <c:f>'InClass3-Solver'!$G$9:$G$39</c:f>
              <c:numCache>
                <c:formatCode>0.0000</c:formatCode>
                <c:ptCount val="31"/>
                <c:pt idx="0">
                  <c:v>0.16887493806063084</c:v>
                </c:pt>
                <c:pt idx="1">
                  <c:v>0.51012592961139325</c:v>
                </c:pt>
                <c:pt idx="2">
                  <c:v>0.44291357679075272</c:v>
                </c:pt>
                <c:pt idx="3">
                  <c:v>0.83166137531387452</c:v>
                </c:pt>
                <c:pt idx="4">
                  <c:v>2.0252975486240041E-2</c:v>
                </c:pt>
                <c:pt idx="5">
                  <c:v>0.32413233083770215</c:v>
                </c:pt>
                <c:pt idx="6">
                  <c:v>0.40398720036148805</c:v>
                </c:pt>
                <c:pt idx="7">
                  <c:v>0.85197145192775692</c:v>
                </c:pt>
                <c:pt idx="8">
                  <c:v>1.5686248431196936E-2</c:v>
                </c:pt>
                <c:pt idx="9">
                  <c:v>0.76205743048301922</c:v>
                </c:pt>
                <c:pt idx="10">
                  <c:v>0.22083603386263381</c:v>
                </c:pt>
                <c:pt idx="11">
                  <c:v>0.62693029949611212</c:v>
                </c:pt>
                <c:pt idx="12">
                  <c:v>0.19096129195956951</c:v>
                </c:pt>
                <c:pt idx="13">
                  <c:v>0.97478401891276067</c:v>
                </c:pt>
                <c:pt idx="14">
                  <c:v>0.50369453198368908</c:v>
                </c:pt>
                <c:pt idx="15">
                  <c:v>0.69310076878899418</c:v>
                </c:pt>
                <c:pt idx="16">
                  <c:v>0.58449246984386027</c:v>
                </c:pt>
                <c:pt idx="17">
                  <c:v>0.33169955070275037</c:v>
                </c:pt>
                <c:pt idx="18">
                  <c:v>9.3050154278343816E-2</c:v>
                </c:pt>
                <c:pt idx="19">
                  <c:v>0.35240595845914724</c:v>
                </c:pt>
                <c:pt idx="20">
                  <c:v>0.86137248546969025</c:v>
                </c:pt>
                <c:pt idx="21">
                  <c:v>8.6832917953757763E-2</c:v>
                </c:pt>
                <c:pt idx="22">
                  <c:v>9.2667381438637383E-2</c:v>
                </c:pt>
                <c:pt idx="23">
                  <c:v>6.0553991119849479E-2</c:v>
                </c:pt>
                <c:pt idx="24">
                  <c:v>0.34539142025847142</c:v>
                </c:pt>
                <c:pt idx="25">
                  <c:v>0.19558663676883078</c:v>
                </c:pt>
                <c:pt idx="26">
                  <c:v>3.6916335588530261E-2</c:v>
                </c:pt>
                <c:pt idx="27">
                  <c:v>0.61385395397891229</c:v>
                </c:pt>
                <c:pt idx="28">
                  <c:v>0.34786003509334124</c:v>
                </c:pt>
                <c:pt idx="29">
                  <c:v>0.45534628448547626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2A-4792-ADC7-C61A9AE92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30816"/>
        <c:axId val="-1622029728"/>
      </c:scatterChart>
      <c:valAx>
        <c:axId val="-1622030816"/>
        <c:scaling>
          <c:orientation val="minMax"/>
          <c:max val="8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9728"/>
        <c:crosses val="autoZero"/>
        <c:crossBetween val="midCat"/>
      </c:valAx>
      <c:valAx>
        <c:axId val="-162202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3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strRef>
              <c:f>'InClass3-Solver-NoW'!$F$8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'InClass3-Solver-NoW'!$B$9:$B$39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'InClass3-Solver-NoW'!$F$9:$F$39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F2-4004-B277-FC1A8053B04D}"/>
            </c:ext>
          </c:extLst>
        </c:ser>
        <c:ser>
          <c:idx val="3"/>
          <c:order val="1"/>
          <c:tx>
            <c:strRef>
              <c:f>'InClass3-Solver-NoW'!$G$8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'InClass3-Solver-NoW'!$B$9:$B$39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'InClass3-Solver-NoW'!$G$9:$G$39</c:f>
              <c:numCache>
                <c:formatCode>0.0000</c:formatCode>
                <c:ptCount val="31"/>
                <c:pt idx="0">
                  <c:v>0.44312823953186914</c:v>
                </c:pt>
                <c:pt idx="1">
                  <c:v>0.49289947445854959</c:v>
                </c:pt>
                <c:pt idx="2">
                  <c:v>0.42360856628611415</c:v>
                </c:pt>
                <c:pt idx="3">
                  <c:v>0.5314306561315072</c:v>
                </c:pt>
                <c:pt idx="4">
                  <c:v>4.971074446989391E-2</c:v>
                </c:pt>
                <c:pt idx="5">
                  <c:v>0.18297041042034665</c:v>
                </c:pt>
                <c:pt idx="6">
                  <c:v>0.6469212687238437</c:v>
                </c:pt>
                <c:pt idx="7">
                  <c:v>0.83328572619454178</c:v>
                </c:pt>
                <c:pt idx="8">
                  <c:v>4.2908134736103692E-2</c:v>
                </c:pt>
                <c:pt idx="9">
                  <c:v>0.49709078676637303</c:v>
                </c:pt>
                <c:pt idx="10">
                  <c:v>0.23889385444894093</c:v>
                </c:pt>
                <c:pt idx="11">
                  <c:v>0.59265268269020688</c:v>
                </c:pt>
                <c:pt idx="12">
                  <c:v>0.21972545594136381</c:v>
                </c:pt>
                <c:pt idx="13">
                  <c:v>0.92227194765950782</c:v>
                </c:pt>
                <c:pt idx="14">
                  <c:v>0.48908580338532559</c:v>
                </c:pt>
                <c:pt idx="15">
                  <c:v>0.66145282452840914</c:v>
                </c:pt>
                <c:pt idx="16">
                  <c:v>0.32330158581540192</c:v>
                </c:pt>
                <c:pt idx="17">
                  <c:v>0.60365588149245131</c:v>
                </c:pt>
                <c:pt idx="18">
                  <c:v>7.3752134751204207E-2</c:v>
                </c:pt>
                <c:pt idx="19">
                  <c:v>0.39812402536328678</c:v>
                </c:pt>
                <c:pt idx="20">
                  <c:v>0.78074112167462117</c:v>
                </c:pt>
                <c:pt idx="21">
                  <c:v>0.14106851789455227</c:v>
                </c:pt>
                <c:pt idx="22">
                  <c:v>0.24223239825341136</c:v>
                </c:pt>
                <c:pt idx="23">
                  <c:v>0.11536903062376974</c:v>
                </c:pt>
                <c:pt idx="24">
                  <c:v>0.64026659507620942</c:v>
                </c:pt>
                <c:pt idx="25">
                  <c:v>0.37600460200011432</c:v>
                </c:pt>
                <c:pt idx="26">
                  <c:v>0.12338741012701983</c:v>
                </c:pt>
                <c:pt idx="27">
                  <c:v>0.39483332134781235</c:v>
                </c:pt>
                <c:pt idx="28">
                  <c:v>0.25946853419466825</c:v>
                </c:pt>
                <c:pt idx="29">
                  <c:v>0.25975826199079577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F2-4004-B277-FC1A8053B04D}"/>
            </c:ext>
          </c:extLst>
        </c:ser>
        <c:ser>
          <c:idx val="0"/>
          <c:order val="2"/>
          <c:tx>
            <c:strRef>
              <c:f>'InClass3-Solver-NoW'!$F$8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'InClass3-Solver-NoW'!$B$9:$B$39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'InClass3-Solver-NoW'!$F$9:$F$39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F2-4004-B277-FC1A8053B04D}"/>
            </c:ext>
          </c:extLst>
        </c:ser>
        <c:ser>
          <c:idx val="1"/>
          <c:order val="3"/>
          <c:tx>
            <c:strRef>
              <c:f>'InClass3-Solver-NoW'!$G$8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'InClass3-Solver-NoW'!$B$9:$B$39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'InClass3-Solver-NoW'!$G$9:$G$39</c:f>
              <c:numCache>
                <c:formatCode>0.0000</c:formatCode>
                <c:ptCount val="31"/>
                <c:pt idx="0">
                  <c:v>0.44312823953186914</c:v>
                </c:pt>
                <c:pt idx="1">
                  <c:v>0.49289947445854959</c:v>
                </c:pt>
                <c:pt idx="2">
                  <c:v>0.42360856628611415</c:v>
                </c:pt>
                <c:pt idx="3">
                  <c:v>0.5314306561315072</c:v>
                </c:pt>
                <c:pt idx="4">
                  <c:v>4.971074446989391E-2</c:v>
                </c:pt>
                <c:pt idx="5">
                  <c:v>0.18297041042034665</c:v>
                </c:pt>
                <c:pt idx="6">
                  <c:v>0.6469212687238437</c:v>
                </c:pt>
                <c:pt idx="7">
                  <c:v>0.83328572619454178</c:v>
                </c:pt>
                <c:pt idx="8">
                  <c:v>4.2908134736103692E-2</c:v>
                </c:pt>
                <c:pt idx="9">
                  <c:v>0.49709078676637303</c:v>
                </c:pt>
                <c:pt idx="10">
                  <c:v>0.23889385444894093</c:v>
                </c:pt>
                <c:pt idx="11">
                  <c:v>0.59265268269020688</c:v>
                </c:pt>
                <c:pt idx="12">
                  <c:v>0.21972545594136381</c:v>
                </c:pt>
                <c:pt idx="13">
                  <c:v>0.92227194765950782</c:v>
                </c:pt>
                <c:pt idx="14">
                  <c:v>0.48908580338532559</c:v>
                </c:pt>
                <c:pt idx="15">
                  <c:v>0.66145282452840914</c:v>
                </c:pt>
                <c:pt idx="16">
                  <c:v>0.32330158581540192</c:v>
                </c:pt>
                <c:pt idx="17">
                  <c:v>0.60365588149245131</c:v>
                </c:pt>
                <c:pt idx="18">
                  <c:v>7.3752134751204207E-2</c:v>
                </c:pt>
                <c:pt idx="19">
                  <c:v>0.39812402536328678</c:v>
                </c:pt>
                <c:pt idx="20">
                  <c:v>0.78074112167462117</c:v>
                </c:pt>
                <c:pt idx="21">
                  <c:v>0.14106851789455227</c:v>
                </c:pt>
                <c:pt idx="22">
                  <c:v>0.24223239825341136</c:v>
                </c:pt>
                <c:pt idx="23">
                  <c:v>0.11536903062376974</c:v>
                </c:pt>
                <c:pt idx="24">
                  <c:v>0.64026659507620942</c:v>
                </c:pt>
                <c:pt idx="25">
                  <c:v>0.37600460200011432</c:v>
                </c:pt>
                <c:pt idx="26">
                  <c:v>0.12338741012701983</c:v>
                </c:pt>
                <c:pt idx="27">
                  <c:v>0.39483332134781235</c:v>
                </c:pt>
                <c:pt idx="28">
                  <c:v>0.25946853419466825</c:v>
                </c:pt>
                <c:pt idx="29">
                  <c:v>0.25975826199079577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F2-4004-B277-FC1A8053B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22112"/>
        <c:axId val="-1622022656"/>
      </c:scatterChart>
      <c:valAx>
        <c:axId val="-162202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2656"/>
        <c:crosses val="autoZero"/>
        <c:crossBetween val="midCat"/>
      </c:valAx>
      <c:valAx>
        <c:axId val="-162202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'InClass3-Solver-NoW'!$F$8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'InClass3-Solver-NoW'!$C$9:$C$39</c:f>
              <c:numCache>
                <c:formatCode>"$"#,##0.00</c:formatCode>
                <c:ptCount val="31"/>
                <c:pt idx="0">
                  <c:v>16</c:v>
                </c:pt>
                <c:pt idx="1">
                  <c:v>14.82</c:v>
                </c:pt>
                <c:pt idx="2">
                  <c:v>12.64</c:v>
                </c:pt>
                <c:pt idx="3">
                  <c:v>13.91</c:v>
                </c:pt>
                <c:pt idx="4">
                  <c:v>12.91</c:v>
                </c:pt>
                <c:pt idx="5">
                  <c:v>15.82</c:v>
                </c:pt>
                <c:pt idx="6">
                  <c:v>14.91</c:v>
                </c:pt>
                <c:pt idx="7">
                  <c:v>12.82</c:v>
                </c:pt>
                <c:pt idx="8">
                  <c:v>13.82</c:v>
                </c:pt>
                <c:pt idx="9">
                  <c:v>18.55</c:v>
                </c:pt>
                <c:pt idx="10">
                  <c:v>10</c:v>
                </c:pt>
                <c:pt idx="11">
                  <c:v>16.27</c:v>
                </c:pt>
                <c:pt idx="12">
                  <c:v>10.64</c:v>
                </c:pt>
                <c:pt idx="13">
                  <c:v>11.55</c:v>
                </c:pt>
                <c:pt idx="14">
                  <c:v>14.91</c:v>
                </c:pt>
                <c:pt idx="15">
                  <c:v>18.36</c:v>
                </c:pt>
                <c:pt idx="16">
                  <c:v>15.18</c:v>
                </c:pt>
                <c:pt idx="17">
                  <c:v>16</c:v>
                </c:pt>
                <c:pt idx="18">
                  <c:v>18.09</c:v>
                </c:pt>
                <c:pt idx="19">
                  <c:v>17.09</c:v>
                </c:pt>
                <c:pt idx="20">
                  <c:v>14.82</c:v>
                </c:pt>
                <c:pt idx="21">
                  <c:v>13.82</c:v>
                </c:pt>
                <c:pt idx="22">
                  <c:v>17.55</c:v>
                </c:pt>
                <c:pt idx="23">
                  <c:v>15.18</c:v>
                </c:pt>
                <c:pt idx="24">
                  <c:v>18.91</c:v>
                </c:pt>
                <c:pt idx="25">
                  <c:v>17.64</c:v>
                </c:pt>
                <c:pt idx="26">
                  <c:v>14.73</c:v>
                </c:pt>
                <c:pt idx="27">
                  <c:v>21</c:v>
                </c:pt>
                <c:pt idx="28">
                  <c:v>13.18</c:v>
                </c:pt>
                <c:pt idx="29">
                  <c:v>17</c:v>
                </c:pt>
              </c:numCache>
            </c:numRef>
          </c:xVal>
          <c:yVal>
            <c:numRef>
              <c:f>'InClass3-Solver-NoW'!$F$9:$F$39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6E-4409-82E4-718A7E9CA7AC}"/>
            </c:ext>
          </c:extLst>
        </c:ser>
        <c:ser>
          <c:idx val="1"/>
          <c:order val="1"/>
          <c:tx>
            <c:strRef>
              <c:f>'InClass3-Solver-NoW'!$G$8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'InClass3-Solver-NoW'!$C$9:$C$39</c:f>
              <c:numCache>
                <c:formatCode>"$"#,##0.00</c:formatCode>
                <c:ptCount val="31"/>
                <c:pt idx="0">
                  <c:v>16</c:v>
                </c:pt>
                <c:pt idx="1">
                  <c:v>14.82</c:v>
                </c:pt>
                <c:pt idx="2">
                  <c:v>12.64</c:v>
                </c:pt>
                <c:pt idx="3">
                  <c:v>13.91</c:v>
                </c:pt>
                <c:pt idx="4">
                  <c:v>12.91</c:v>
                </c:pt>
                <c:pt idx="5">
                  <c:v>15.82</c:v>
                </c:pt>
                <c:pt idx="6">
                  <c:v>14.91</c:v>
                </c:pt>
                <c:pt idx="7">
                  <c:v>12.82</c:v>
                </c:pt>
                <c:pt idx="8">
                  <c:v>13.82</c:v>
                </c:pt>
                <c:pt idx="9">
                  <c:v>18.55</c:v>
                </c:pt>
                <c:pt idx="10">
                  <c:v>10</c:v>
                </c:pt>
                <c:pt idx="11">
                  <c:v>16.27</c:v>
                </c:pt>
                <c:pt idx="12">
                  <c:v>10.64</c:v>
                </c:pt>
                <c:pt idx="13">
                  <c:v>11.55</c:v>
                </c:pt>
                <c:pt idx="14">
                  <c:v>14.91</c:v>
                </c:pt>
                <c:pt idx="15">
                  <c:v>18.36</c:v>
                </c:pt>
                <c:pt idx="16">
                  <c:v>15.18</c:v>
                </c:pt>
                <c:pt idx="17">
                  <c:v>16</c:v>
                </c:pt>
                <c:pt idx="18">
                  <c:v>18.09</c:v>
                </c:pt>
                <c:pt idx="19">
                  <c:v>17.09</c:v>
                </c:pt>
                <c:pt idx="20">
                  <c:v>14.82</c:v>
                </c:pt>
                <c:pt idx="21">
                  <c:v>13.82</c:v>
                </c:pt>
                <c:pt idx="22">
                  <c:v>17.55</c:v>
                </c:pt>
                <c:pt idx="23">
                  <c:v>15.18</c:v>
                </c:pt>
                <c:pt idx="24">
                  <c:v>18.91</c:v>
                </c:pt>
                <c:pt idx="25">
                  <c:v>17.64</c:v>
                </c:pt>
                <c:pt idx="26">
                  <c:v>14.73</c:v>
                </c:pt>
                <c:pt idx="27">
                  <c:v>21</c:v>
                </c:pt>
                <c:pt idx="28">
                  <c:v>13.18</c:v>
                </c:pt>
                <c:pt idx="29">
                  <c:v>17</c:v>
                </c:pt>
              </c:numCache>
            </c:numRef>
          </c:xVal>
          <c:yVal>
            <c:numRef>
              <c:f>'InClass3-Solver-NoW'!$G$9:$G$39</c:f>
              <c:numCache>
                <c:formatCode>0.0000</c:formatCode>
                <c:ptCount val="31"/>
                <c:pt idx="0">
                  <c:v>0.44312823953186914</c:v>
                </c:pt>
                <c:pt idx="1">
                  <c:v>0.49289947445854959</c:v>
                </c:pt>
                <c:pt idx="2">
                  <c:v>0.42360856628611415</c:v>
                </c:pt>
                <c:pt idx="3">
                  <c:v>0.5314306561315072</c:v>
                </c:pt>
                <c:pt idx="4">
                  <c:v>4.971074446989391E-2</c:v>
                </c:pt>
                <c:pt idx="5">
                  <c:v>0.18297041042034665</c:v>
                </c:pt>
                <c:pt idx="6">
                  <c:v>0.6469212687238437</c:v>
                </c:pt>
                <c:pt idx="7">
                  <c:v>0.83328572619454178</c:v>
                </c:pt>
                <c:pt idx="8">
                  <c:v>4.2908134736103692E-2</c:v>
                </c:pt>
                <c:pt idx="9">
                  <c:v>0.49709078676637303</c:v>
                </c:pt>
                <c:pt idx="10">
                  <c:v>0.23889385444894093</c:v>
                </c:pt>
                <c:pt idx="11">
                  <c:v>0.59265268269020688</c:v>
                </c:pt>
                <c:pt idx="12">
                  <c:v>0.21972545594136381</c:v>
                </c:pt>
                <c:pt idx="13">
                  <c:v>0.92227194765950782</c:v>
                </c:pt>
                <c:pt idx="14">
                  <c:v>0.48908580338532559</c:v>
                </c:pt>
                <c:pt idx="15">
                  <c:v>0.66145282452840914</c:v>
                </c:pt>
                <c:pt idx="16">
                  <c:v>0.32330158581540192</c:v>
                </c:pt>
                <c:pt idx="17">
                  <c:v>0.60365588149245131</c:v>
                </c:pt>
                <c:pt idx="18">
                  <c:v>7.3752134751204207E-2</c:v>
                </c:pt>
                <c:pt idx="19">
                  <c:v>0.39812402536328678</c:v>
                </c:pt>
                <c:pt idx="20">
                  <c:v>0.78074112167462117</c:v>
                </c:pt>
                <c:pt idx="21">
                  <c:v>0.14106851789455227</c:v>
                </c:pt>
                <c:pt idx="22">
                  <c:v>0.24223239825341136</c:v>
                </c:pt>
                <c:pt idx="23">
                  <c:v>0.11536903062376974</c:v>
                </c:pt>
                <c:pt idx="24">
                  <c:v>0.64026659507620942</c:v>
                </c:pt>
                <c:pt idx="25">
                  <c:v>0.37600460200011432</c:v>
                </c:pt>
                <c:pt idx="26">
                  <c:v>0.12338741012701983</c:v>
                </c:pt>
                <c:pt idx="27">
                  <c:v>0.39483332134781235</c:v>
                </c:pt>
                <c:pt idx="28">
                  <c:v>0.25946853419466825</c:v>
                </c:pt>
                <c:pt idx="29">
                  <c:v>0.25975826199079577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6E-4409-82E4-718A7E9CA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25376"/>
        <c:axId val="-1622017216"/>
      </c:scatterChart>
      <c:valAx>
        <c:axId val="-1622025376"/>
        <c:scaling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17216"/>
        <c:crosses val="autoZero"/>
        <c:crossBetween val="midCat"/>
      </c:valAx>
      <c:valAx>
        <c:axId val="-162201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'InClass3-Solver-NoW'!$F$8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'InClass3-Solver-NoW'!$D$9:$D$39</c:f>
              <c:numCache>
                <c:formatCode>General</c:formatCode>
                <c:ptCount val="31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4</c:v>
                </c:pt>
                <c:pt idx="18">
                  <c:v>8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8</c:v>
                </c:pt>
              </c:numCache>
            </c:numRef>
          </c:xVal>
          <c:yVal>
            <c:numRef>
              <c:f>'InClass3-Solver-NoW'!$F$9:$F$39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7-46A8-B2AE-9D695CDB7D1E}"/>
            </c:ext>
          </c:extLst>
        </c:ser>
        <c:ser>
          <c:idx val="1"/>
          <c:order val="1"/>
          <c:tx>
            <c:strRef>
              <c:f>'InClass3-Solver-NoW'!$G$8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'InClass3-Solver-NoW'!$D$9:$D$39</c:f>
              <c:numCache>
                <c:formatCode>General</c:formatCode>
                <c:ptCount val="31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4</c:v>
                </c:pt>
                <c:pt idx="18">
                  <c:v>8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8</c:v>
                </c:pt>
              </c:numCache>
            </c:numRef>
          </c:xVal>
          <c:yVal>
            <c:numRef>
              <c:f>'InClass3-Solver-NoW'!$G$9:$G$39</c:f>
              <c:numCache>
                <c:formatCode>0.0000</c:formatCode>
                <c:ptCount val="31"/>
                <c:pt idx="0">
                  <c:v>0.44312823953186914</c:v>
                </c:pt>
                <c:pt idx="1">
                  <c:v>0.49289947445854959</c:v>
                </c:pt>
                <c:pt idx="2">
                  <c:v>0.42360856628611415</c:v>
                </c:pt>
                <c:pt idx="3">
                  <c:v>0.5314306561315072</c:v>
                </c:pt>
                <c:pt idx="4">
                  <c:v>4.971074446989391E-2</c:v>
                </c:pt>
                <c:pt idx="5">
                  <c:v>0.18297041042034665</c:v>
                </c:pt>
                <c:pt idx="6">
                  <c:v>0.6469212687238437</c:v>
                </c:pt>
                <c:pt idx="7">
                  <c:v>0.83328572619454178</c:v>
                </c:pt>
                <c:pt idx="8">
                  <c:v>4.2908134736103692E-2</c:v>
                </c:pt>
                <c:pt idx="9">
                  <c:v>0.49709078676637303</c:v>
                </c:pt>
                <c:pt idx="10">
                  <c:v>0.23889385444894093</c:v>
                </c:pt>
                <c:pt idx="11">
                  <c:v>0.59265268269020688</c:v>
                </c:pt>
                <c:pt idx="12">
                  <c:v>0.21972545594136381</c:v>
                </c:pt>
                <c:pt idx="13">
                  <c:v>0.92227194765950782</c:v>
                </c:pt>
                <c:pt idx="14">
                  <c:v>0.48908580338532559</c:v>
                </c:pt>
                <c:pt idx="15">
                  <c:v>0.66145282452840914</c:v>
                </c:pt>
                <c:pt idx="16">
                  <c:v>0.32330158581540192</c:v>
                </c:pt>
                <c:pt idx="17">
                  <c:v>0.60365588149245131</c:v>
                </c:pt>
                <c:pt idx="18">
                  <c:v>7.3752134751204207E-2</c:v>
                </c:pt>
                <c:pt idx="19">
                  <c:v>0.39812402536328678</c:v>
                </c:pt>
                <c:pt idx="20">
                  <c:v>0.78074112167462117</c:v>
                </c:pt>
                <c:pt idx="21">
                  <c:v>0.14106851789455227</c:v>
                </c:pt>
                <c:pt idx="22">
                  <c:v>0.24223239825341136</c:v>
                </c:pt>
                <c:pt idx="23">
                  <c:v>0.11536903062376974</c:v>
                </c:pt>
                <c:pt idx="24">
                  <c:v>0.64026659507620942</c:v>
                </c:pt>
                <c:pt idx="25">
                  <c:v>0.37600460200011432</c:v>
                </c:pt>
                <c:pt idx="26">
                  <c:v>0.12338741012701983</c:v>
                </c:pt>
                <c:pt idx="27">
                  <c:v>0.39483332134781235</c:v>
                </c:pt>
                <c:pt idx="28">
                  <c:v>0.25946853419466825</c:v>
                </c:pt>
                <c:pt idx="29">
                  <c:v>0.25975826199079577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7-46A8-B2AE-9D695CDB7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30816"/>
        <c:axId val="-1622029728"/>
      </c:scatterChart>
      <c:valAx>
        <c:axId val="-1622030816"/>
        <c:scaling>
          <c:orientation val="minMax"/>
          <c:max val="8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9728"/>
        <c:crosses val="autoZero"/>
        <c:crossBetween val="midCat"/>
      </c:valAx>
      <c:valAx>
        <c:axId val="-162202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3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strRef>
              <c:f>'InClass3-Solver-NoC'!$F$8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'InClass3-Solver-NoC'!$B$9:$B$39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'InClass3-Solver-NoC'!$F$9:$F$39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A7-49EE-81E6-49000D05D3CB}"/>
            </c:ext>
          </c:extLst>
        </c:ser>
        <c:ser>
          <c:idx val="3"/>
          <c:order val="1"/>
          <c:tx>
            <c:strRef>
              <c:f>'InClass3-Solver-NoC'!$G$8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'InClass3-Solver-NoC'!$B$9:$B$39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'InClass3-Solver-NoC'!$G$9:$G$39</c:f>
              <c:numCache>
                <c:formatCode>0.0000</c:formatCode>
                <c:ptCount val="31"/>
                <c:pt idx="0">
                  <c:v>0.285003981970471</c:v>
                </c:pt>
                <c:pt idx="1">
                  <c:v>0.39164631558515972</c:v>
                </c:pt>
                <c:pt idx="2">
                  <c:v>0.38978733791197884</c:v>
                </c:pt>
                <c:pt idx="3">
                  <c:v>0.50998529182534524</c:v>
                </c:pt>
                <c:pt idx="4">
                  <c:v>0.39001740578625044</c:v>
                </c:pt>
                <c:pt idx="5">
                  <c:v>0.51169493620549866</c:v>
                </c:pt>
                <c:pt idx="6">
                  <c:v>0.28420900766037249</c:v>
                </c:pt>
                <c:pt idx="7">
                  <c:v>0.33417475599047847</c:v>
                </c:pt>
                <c:pt idx="8">
                  <c:v>0.3907931797116348</c:v>
                </c:pt>
                <c:pt idx="9">
                  <c:v>0.51413807916071264</c:v>
                </c:pt>
                <c:pt idx="10">
                  <c:v>0.38754038361303494</c:v>
                </c:pt>
                <c:pt idx="11">
                  <c:v>0.39288453814270657</c:v>
                </c:pt>
                <c:pt idx="12">
                  <c:v>0.38808466464764596</c:v>
                </c:pt>
                <c:pt idx="13">
                  <c:v>0.38885904495924406</c:v>
                </c:pt>
                <c:pt idx="14">
                  <c:v>0.39172313038023188</c:v>
                </c:pt>
                <c:pt idx="15">
                  <c:v>0.39467170833140547</c:v>
                </c:pt>
                <c:pt idx="16">
                  <c:v>0.51112209956819221</c:v>
                </c:pt>
                <c:pt idx="17">
                  <c:v>0.285003981970471</c:v>
                </c:pt>
                <c:pt idx="18">
                  <c:v>0.51372645818661222</c:v>
                </c:pt>
                <c:pt idx="19">
                  <c:v>0.39358538551165534</c:v>
                </c:pt>
                <c:pt idx="20">
                  <c:v>0.39164631558515972</c:v>
                </c:pt>
                <c:pt idx="21">
                  <c:v>0.3907931797116348</c:v>
                </c:pt>
                <c:pt idx="22">
                  <c:v>0.3379552064689188</c:v>
                </c:pt>
                <c:pt idx="23">
                  <c:v>0.3919536069295344</c:v>
                </c:pt>
                <c:pt idx="24">
                  <c:v>0.28713288067720133</c:v>
                </c:pt>
                <c:pt idx="25">
                  <c:v>0.33802734191504635</c:v>
                </c:pt>
                <c:pt idx="26">
                  <c:v>0.33569879325075797</c:v>
                </c:pt>
                <c:pt idx="27">
                  <c:v>0.51633007163873146</c:v>
                </c:pt>
                <c:pt idx="28">
                  <c:v>0.44905980988158373</c:v>
                </c:pt>
                <c:pt idx="29">
                  <c:v>0.51275102212322532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A7-49EE-81E6-49000D05D3CB}"/>
            </c:ext>
          </c:extLst>
        </c:ser>
        <c:ser>
          <c:idx val="0"/>
          <c:order val="2"/>
          <c:tx>
            <c:strRef>
              <c:f>'InClass3-Solver-NoC'!$F$8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'InClass3-Solver-NoC'!$B$9:$B$39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'InClass3-Solver-NoC'!$F$9:$F$39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A7-49EE-81E6-49000D05D3CB}"/>
            </c:ext>
          </c:extLst>
        </c:ser>
        <c:ser>
          <c:idx val="1"/>
          <c:order val="3"/>
          <c:tx>
            <c:strRef>
              <c:f>'InClass3-Solver-NoC'!$G$8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'InClass3-Solver-NoC'!$B$9:$B$39</c:f>
              <c:numCache>
                <c:formatCode>0</c:formatCode>
                <c:ptCount val="31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4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7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4</c:v>
                </c:pt>
                <c:pt idx="20">
                  <c:v>2</c:v>
                </c:pt>
                <c:pt idx="21">
                  <c:v>7</c:v>
                </c:pt>
                <c:pt idx="22">
                  <c:v>5</c:v>
                </c:pt>
                <c:pt idx="23">
                  <c:v>7</c:v>
                </c:pt>
                <c:pt idx="24">
                  <c:v>2</c:v>
                </c:pt>
                <c:pt idx="25">
                  <c:v>4</c:v>
                </c:pt>
                <c:pt idx="26">
                  <c:v>7</c:v>
                </c:pt>
                <c:pt idx="27">
                  <c:v>3</c:v>
                </c:pt>
                <c:pt idx="28">
                  <c:v>6</c:v>
                </c:pt>
                <c:pt idx="29">
                  <c:v>5</c:v>
                </c:pt>
              </c:numCache>
            </c:numRef>
          </c:xVal>
          <c:yVal>
            <c:numRef>
              <c:f>'InClass3-Solver-NoC'!$G$9:$G$39</c:f>
              <c:numCache>
                <c:formatCode>0.0000</c:formatCode>
                <c:ptCount val="31"/>
                <c:pt idx="0">
                  <c:v>0.285003981970471</c:v>
                </c:pt>
                <c:pt idx="1">
                  <c:v>0.39164631558515972</c:v>
                </c:pt>
                <c:pt idx="2">
                  <c:v>0.38978733791197884</c:v>
                </c:pt>
                <c:pt idx="3">
                  <c:v>0.50998529182534524</c:v>
                </c:pt>
                <c:pt idx="4">
                  <c:v>0.39001740578625044</c:v>
                </c:pt>
                <c:pt idx="5">
                  <c:v>0.51169493620549866</c:v>
                </c:pt>
                <c:pt idx="6">
                  <c:v>0.28420900766037249</c:v>
                </c:pt>
                <c:pt idx="7">
                  <c:v>0.33417475599047847</c:v>
                </c:pt>
                <c:pt idx="8">
                  <c:v>0.3907931797116348</c:v>
                </c:pt>
                <c:pt idx="9">
                  <c:v>0.51413807916071264</c:v>
                </c:pt>
                <c:pt idx="10">
                  <c:v>0.38754038361303494</c:v>
                </c:pt>
                <c:pt idx="11">
                  <c:v>0.39288453814270657</c:v>
                </c:pt>
                <c:pt idx="12">
                  <c:v>0.38808466464764596</c:v>
                </c:pt>
                <c:pt idx="13">
                  <c:v>0.38885904495924406</c:v>
                </c:pt>
                <c:pt idx="14">
                  <c:v>0.39172313038023188</c:v>
                </c:pt>
                <c:pt idx="15">
                  <c:v>0.39467170833140547</c:v>
                </c:pt>
                <c:pt idx="16">
                  <c:v>0.51112209956819221</c:v>
                </c:pt>
                <c:pt idx="17">
                  <c:v>0.285003981970471</c:v>
                </c:pt>
                <c:pt idx="18">
                  <c:v>0.51372645818661222</c:v>
                </c:pt>
                <c:pt idx="19">
                  <c:v>0.39358538551165534</c:v>
                </c:pt>
                <c:pt idx="20">
                  <c:v>0.39164631558515972</c:v>
                </c:pt>
                <c:pt idx="21">
                  <c:v>0.3907931797116348</c:v>
                </c:pt>
                <c:pt idx="22">
                  <c:v>0.3379552064689188</c:v>
                </c:pt>
                <c:pt idx="23">
                  <c:v>0.3919536069295344</c:v>
                </c:pt>
                <c:pt idx="24">
                  <c:v>0.28713288067720133</c:v>
                </c:pt>
                <c:pt idx="25">
                  <c:v>0.33802734191504635</c:v>
                </c:pt>
                <c:pt idx="26">
                  <c:v>0.33569879325075797</c:v>
                </c:pt>
                <c:pt idx="27">
                  <c:v>0.51633007163873146</c:v>
                </c:pt>
                <c:pt idx="28">
                  <c:v>0.44905980988158373</c:v>
                </c:pt>
                <c:pt idx="29">
                  <c:v>0.51275102212322532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A7-49EE-81E6-49000D05D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22112"/>
        <c:axId val="-1622022656"/>
      </c:scatterChart>
      <c:valAx>
        <c:axId val="-162202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2656"/>
        <c:crosses val="autoZero"/>
        <c:crossBetween val="midCat"/>
      </c:valAx>
      <c:valAx>
        <c:axId val="-162202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'InClass3-Solver-NoC'!$F$8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'InClass3-Solver-NoC'!$C$9:$C$39</c:f>
              <c:numCache>
                <c:formatCode>"$"#,##0.00</c:formatCode>
                <c:ptCount val="31"/>
                <c:pt idx="0">
                  <c:v>16</c:v>
                </c:pt>
                <c:pt idx="1">
                  <c:v>14.82</c:v>
                </c:pt>
                <c:pt idx="2">
                  <c:v>12.64</c:v>
                </c:pt>
                <c:pt idx="3">
                  <c:v>13.91</c:v>
                </c:pt>
                <c:pt idx="4">
                  <c:v>12.91</c:v>
                </c:pt>
                <c:pt idx="5">
                  <c:v>15.82</c:v>
                </c:pt>
                <c:pt idx="6">
                  <c:v>14.91</c:v>
                </c:pt>
                <c:pt idx="7">
                  <c:v>12.82</c:v>
                </c:pt>
                <c:pt idx="8">
                  <c:v>13.82</c:v>
                </c:pt>
                <c:pt idx="9">
                  <c:v>18.55</c:v>
                </c:pt>
                <c:pt idx="10">
                  <c:v>10</c:v>
                </c:pt>
                <c:pt idx="11">
                  <c:v>16.27</c:v>
                </c:pt>
                <c:pt idx="12">
                  <c:v>10.64</c:v>
                </c:pt>
                <c:pt idx="13">
                  <c:v>11.55</c:v>
                </c:pt>
                <c:pt idx="14">
                  <c:v>14.91</c:v>
                </c:pt>
                <c:pt idx="15">
                  <c:v>18.36</c:v>
                </c:pt>
                <c:pt idx="16">
                  <c:v>15.18</c:v>
                </c:pt>
                <c:pt idx="17">
                  <c:v>16</c:v>
                </c:pt>
                <c:pt idx="18">
                  <c:v>18.09</c:v>
                </c:pt>
                <c:pt idx="19">
                  <c:v>17.09</c:v>
                </c:pt>
                <c:pt idx="20">
                  <c:v>14.82</c:v>
                </c:pt>
                <c:pt idx="21">
                  <c:v>13.82</c:v>
                </c:pt>
                <c:pt idx="22">
                  <c:v>17.55</c:v>
                </c:pt>
                <c:pt idx="23">
                  <c:v>15.18</c:v>
                </c:pt>
                <c:pt idx="24">
                  <c:v>18.91</c:v>
                </c:pt>
                <c:pt idx="25">
                  <c:v>17.64</c:v>
                </c:pt>
                <c:pt idx="26">
                  <c:v>14.73</c:v>
                </c:pt>
                <c:pt idx="27">
                  <c:v>21</c:v>
                </c:pt>
                <c:pt idx="28">
                  <c:v>13.18</c:v>
                </c:pt>
                <c:pt idx="29">
                  <c:v>17</c:v>
                </c:pt>
              </c:numCache>
            </c:numRef>
          </c:xVal>
          <c:yVal>
            <c:numRef>
              <c:f>'InClass3-Solver-NoC'!$F$9:$F$39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31F-9F01-974E95F174DF}"/>
            </c:ext>
          </c:extLst>
        </c:ser>
        <c:ser>
          <c:idx val="1"/>
          <c:order val="1"/>
          <c:tx>
            <c:strRef>
              <c:f>'InClass3-Solver-NoC'!$G$8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'InClass3-Solver-NoC'!$C$9:$C$39</c:f>
              <c:numCache>
                <c:formatCode>"$"#,##0.00</c:formatCode>
                <c:ptCount val="31"/>
                <c:pt idx="0">
                  <c:v>16</c:v>
                </c:pt>
                <c:pt idx="1">
                  <c:v>14.82</c:v>
                </c:pt>
                <c:pt idx="2">
                  <c:v>12.64</c:v>
                </c:pt>
                <c:pt idx="3">
                  <c:v>13.91</c:v>
                </c:pt>
                <c:pt idx="4">
                  <c:v>12.91</c:v>
                </c:pt>
                <c:pt idx="5">
                  <c:v>15.82</c:v>
                </c:pt>
                <c:pt idx="6">
                  <c:v>14.91</c:v>
                </c:pt>
                <c:pt idx="7">
                  <c:v>12.82</c:v>
                </c:pt>
                <c:pt idx="8">
                  <c:v>13.82</c:v>
                </c:pt>
                <c:pt idx="9">
                  <c:v>18.55</c:v>
                </c:pt>
                <c:pt idx="10">
                  <c:v>10</c:v>
                </c:pt>
                <c:pt idx="11">
                  <c:v>16.27</c:v>
                </c:pt>
                <c:pt idx="12">
                  <c:v>10.64</c:v>
                </c:pt>
                <c:pt idx="13">
                  <c:v>11.55</c:v>
                </c:pt>
                <c:pt idx="14">
                  <c:v>14.91</c:v>
                </c:pt>
                <c:pt idx="15">
                  <c:v>18.36</c:v>
                </c:pt>
                <c:pt idx="16">
                  <c:v>15.18</c:v>
                </c:pt>
                <c:pt idx="17">
                  <c:v>16</c:v>
                </c:pt>
                <c:pt idx="18">
                  <c:v>18.09</c:v>
                </c:pt>
                <c:pt idx="19">
                  <c:v>17.09</c:v>
                </c:pt>
                <c:pt idx="20">
                  <c:v>14.82</c:v>
                </c:pt>
                <c:pt idx="21">
                  <c:v>13.82</c:v>
                </c:pt>
                <c:pt idx="22">
                  <c:v>17.55</c:v>
                </c:pt>
                <c:pt idx="23">
                  <c:v>15.18</c:v>
                </c:pt>
                <c:pt idx="24">
                  <c:v>18.91</c:v>
                </c:pt>
                <c:pt idx="25">
                  <c:v>17.64</c:v>
                </c:pt>
                <c:pt idx="26">
                  <c:v>14.73</c:v>
                </c:pt>
                <c:pt idx="27">
                  <c:v>21</c:v>
                </c:pt>
                <c:pt idx="28">
                  <c:v>13.18</c:v>
                </c:pt>
                <c:pt idx="29">
                  <c:v>17</c:v>
                </c:pt>
              </c:numCache>
            </c:numRef>
          </c:xVal>
          <c:yVal>
            <c:numRef>
              <c:f>'InClass3-Solver-NoC'!$G$9:$G$39</c:f>
              <c:numCache>
                <c:formatCode>0.0000</c:formatCode>
                <c:ptCount val="31"/>
                <c:pt idx="0">
                  <c:v>0.285003981970471</c:v>
                </c:pt>
                <c:pt idx="1">
                  <c:v>0.39164631558515972</c:v>
                </c:pt>
                <c:pt idx="2">
                  <c:v>0.38978733791197884</c:v>
                </c:pt>
                <c:pt idx="3">
                  <c:v>0.50998529182534524</c:v>
                </c:pt>
                <c:pt idx="4">
                  <c:v>0.39001740578625044</c:v>
                </c:pt>
                <c:pt idx="5">
                  <c:v>0.51169493620549866</c:v>
                </c:pt>
                <c:pt idx="6">
                  <c:v>0.28420900766037249</c:v>
                </c:pt>
                <c:pt idx="7">
                  <c:v>0.33417475599047847</c:v>
                </c:pt>
                <c:pt idx="8">
                  <c:v>0.3907931797116348</c:v>
                </c:pt>
                <c:pt idx="9">
                  <c:v>0.51413807916071264</c:v>
                </c:pt>
                <c:pt idx="10">
                  <c:v>0.38754038361303494</c:v>
                </c:pt>
                <c:pt idx="11">
                  <c:v>0.39288453814270657</c:v>
                </c:pt>
                <c:pt idx="12">
                  <c:v>0.38808466464764596</c:v>
                </c:pt>
                <c:pt idx="13">
                  <c:v>0.38885904495924406</c:v>
                </c:pt>
                <c:pt idx="14">
                  <c:v>0.39172313038023188</c:v>
                </c:pt>
                <c:pt idx="15">
                  <c:v>0.39467170833140547</c:v>
                </c:pt>
                <c:pt idx="16">
                  <c:v>0.51112209956819221</c:v>
                </c:pt>
                <c:pt idx="17">
                  <c:v>0.285003981970471</c:v>
                </c:pt>
                <c:pt idx="18">
                  <c:v>0.51372645818661222</c:v>
                </c:pt>
                <c:pt idx="19">
                  <c:v>0.39358538551165534</c:v>
                </c:pt>
                <c:pt idx="20">
                  <c:v>0.39164631558515972</c:v>
                </c:pt>
                <c:pt idx="21">
                  <c:v>0.3907931797116348</c:v>
                </c:pt>
                <c:pt idx="22">
                  <c:v>0.3379552064689188</c:v>
                </c:pt>
                <c:pt idx="23">
                  <c:v>0.3919536069295344</c:v>
                </c:pt>
                <c:pt idx="24">
                  <c:v>0.28713288067720133</c:v>
                </c:pt>
                <c:pt idx="25">
                  <c:v>0.33802734191504635</c:v>
                </c:pt>
                <c:pt idx="26">
                  <c:v>0.33569879325075797</c:v>
                </c:pt>
                <c:pt idx="27">
                  <c:v>0.51633007163873146</c:v>
                </c:pt>
                <c:pt idx="28">
                  <c:v>0.44905980988158373</c:v>
                </c:pt>
                <c:pt idx="29">
                  <c:v>0.51275102212322532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31F-9F01-974E95F17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25376"/>
        <c:axId val="-1622017216"/>
      </c:scatterChart>
      <c:valAx>
        <c:axId val="-1622025376"/>
        <c:scaling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17216"/>
        <c:crosses val="autoZero"/>
        <c:crossBetween val="midCat"/>
      </c:valAx>
      <c:valAx>
        <c:axId val="-162201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'InClass3-Solver-NoC'!$F$8</c:f>
              <c:strCache>
                <c:ptCount val="1"/>
                <c:pt idx="0">
                  <c:v>On Time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'InClass3-Solver-NoC'!$D$9:$D$39</c:f>
              <c:numCache>
                <c:formatCode>General</c:formatCode>
                <c:ptCount val="31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4</c:v>
                </c:pt>
                <c:pt idx="18">
                  <c:v>8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8</c:v>
                </c:pt>
              </c:numCache>
            </c:numRef>
          </c:xVal>
          <c:yVal>
            <c:numRef>
              <c:f>'InClass3-Solver-NoC'!$F$9:$F$39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D0-4FB5-B295-12A3469D3E4C}"/>
            </c:ext>
          </c:extLst>
        </c:ser>
        <c:ser>
          <c:idx val="1"/>
          <c:order val="1"/>
          <c:tx>
            <c:strRef>
              <c:f>'InClass3-Solver-NoC'!$G$8</c:f>
              <c:strCache>
                <c:ptCount val="1"/>
                <c:pt idx="0">
                  <c:v>Pr[y(xi) = 1]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'InClass3-Solver-NoC'!$D$9:$D$39</c:f>
              <c:numCache>
                <c:formatCode>General</c:formatCode>
                <c:ptCount val="31"/>
                <c:pt idx="0">
                  <c:v>4</c:v>
                </c:pt>
                <c:pt idx="1">
                  <c:v>6</c:v>
                </c:pt>
                <c:pt idx="2">
                  <c:v>6</c:v>
                </c:pt>
                <c:pt idx="3">
                  <c:v>8</c:v>
                </c:pt>
                <c:pt idx="4">
                  <c:v>6</c:v>
                </c:pt>
                <c:pt idx="5">
                  <c:v>8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</c:v>
                </c:pt>
                <c:pt idx="17">
                  <c:v>4</c:v>
                </c:pt>
                <c:pt idx="18">
                  <c:v>8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5</c:v>
                </c:pt>
                <c:pt idx="23">
                  <c:v>6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8</c:v>
                </c:pt>
                <c:pt idx="28">
                  <c:v>7</c:v>
                </c:pt>
                <c:pt idx="29">
                  <c:v>8</c:v>
                </c:pt>
              </c:numCache>
            </c:numRef>
          </c:xVal>
          <c:yVal>
            <c:numRef>
              <c:f>'InClass3-Solver-NoC'!$G$9:$G$39</c:f>
              <c:numCache>
                <c:formatCode>0.0000</c:formatCode>
                <c:ptCount val="31"/>
                <c:pt idx="0">
                  <c:v>0.285003981970471</c:v>
                </c:pt>
                <c:pt idx="1">
                  <c:v>0.39164631558515972</c:v>
                </c:pt>
                <c:pt idx="2">
                  <c:v>0.38978733791197884</c:v>
                </c:pt>
                <c:pt idx="3">
                  <c:v>0.50998529182534524</c:v>
                </c:pt>
                <c:pt idx="4">
                  <c:v>0.39001740578625044</c:v>
                </c:pt>
                <c:pt idx="5">
                  <c:v>0.51169493620549866</c:v>
                </c:pt>
                <c:pt idx="6">
                  <c:v>0.28420900766037249</c:v>
                </c:pt>
                <c:pt idx="7">
                  <c:v>0.33417475599047847</c:v>
                </c:pt>
                <c:pt idx="8">
                  <c:v>0.3907931797116348</c:v>
                </c:pt>
                <c:pt idx="9">
                  <c:v>0.51413807916071264</c:v>
                </c:pt>
                <c:pt idx="10">
                  <c:v>0.38754038361303494</c:v>
                </c:pt>
                <c:pt idx="11">
                  <c:v>0.39288453814270657</c:v>
                </c:pt>
                <c:pt idx="12">
                  <c:v>0.38808466464764596</c:v>
                </c:pt>
                <c:pt idx="13">
                  <c:v>0.38885904495924406</c:v>
                </c:pt>
                <c:pt idx="14">
                  <c:v>0.39172313038023188</c:v>
                </c:pt>
                <c:pt idx="15">
                  <c:v>0.39467170833140547</c:v>
                </c:pt>
                <c:pt idx="16">
                  <c:v>0.51112209956819221</c:v>
                </c:pt>
                <c:pt idx="17">
                  <c:v>0.285003981970471</c:v>
                </c:pt>
                <c:pt idx="18">
                  <c:v>0.51372645818661222</c:v>
                </c:pt>
                <c:pt idx="19">
                  <c:v>0.39358538551165534</c:v>
                </c:pt>
                <c:pt idx="20">
                  <c:v>0.39164631558515972</c:v>
                </c:pt>
                <c:pt idx="21">
                  <c:v>0.3907931797116348</c:v>
                </c:pt>
                <c:pt idx="22">
                  <c:v>0.3379552064689188</c:v>
                </c:pt>
                <c:pt idx="23">
                  <c:v>0.3919536069295344</c:v>
                </c:pt>
                <c:pt idx="24">
                  <c:v>0.28713288067720133</c:v>
                </c:pt>
                <c:pt idx="25">
                  <c:v>0.33802734191504635</c:v>
                </c:pt>
                <c:pt idx="26">
                  <c:v>0.33569879325075797</c:v>
                </c:pt>
                <c:pt idx="27">
                  <c:v>0.51633007163873146</c:v>
                </c:pt>
                <c:pt idx="28">
                  <c:v>0.44905980988158373</c:v>
                </c:pt>
                <c:pt idx="29">
                  <c:v>0.51275102212322532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D0-4FB5-B295-12A3469D3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22030816"/>
        <c:axId val="-1622029728"/>
      </c:scatterChart>
      <c:valAx>
        <c:axId val="-1622030816"/>
        <c:scaling>
          <c:orientation val="minMax"/>
          <c:max val="8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29728"/>
        <c:crosses val="autoZero"/>
        <c:crossBetween val="midCat"/>
      </c:valAx>
      <c:valAx>
        <c:axId val="-162202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2203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9"/>
  <sheetViews>
    <sheetView zoomScale="122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9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8"/>
  <sheetViews>
    <sheetView zoomScale="9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2766" cy="629274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32658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32658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1095375</xdr:colOff>
      <xdr:row>5</xdr:row>
      <xdr:rowOff>171451</xdr:rowOff>
    </xdr:from>
    <xdr:to>
      <xdr:col>9</xdr:col>
      <xdr:colOff>485775</xdr:colOff>
      <xdr:row>19</xdr:row>
      <xdr:rowOff>66675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4</xdr:row>
      <xdr:rowOff>28576</xdr:rowOff>
    </xdr:from>
    <xdr:to>
      <xdr:col>9</xdr:col>
      <xdr:colOff>695325</xdr:colOff>
      <xdr:row>17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819150</xdr:colOff>
      <xdr:row>5</xdr:row>
      <xdr:rowOff>200025</xdr:rowOff>
    </xdr:from>
    <xdr:to>
      <xdr:col>19</xdr:col>
      <xdr:colOff>361950</xdr:colOff>
      <xdr:row>17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819150</xdr:colOff>
      <xdr:row>5</xdr:row>
      <xdr:rowOff>200025</xdr:rowOff>
    </xdr:from>
    <xdr:to>
      <xdr:col>19</xdr:col>
      <xdr:colOff>361950</xdr:colOff>
      <xdr:row>17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9</xdr:row>
      <xdr:rowOff>80962</xdr:rowOff>
    </xdr:from>
    <xdr:to>
      <xdr:col>10</xdr:col>
      <xdr:colOff>333375</xdr:colOff>
      <xdr:row>20</xdr:row>
      <xdr:rowOff>204787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6</xdr:row>
      <xdr:rowOff>219075</xdr:rowOff>
    </xdr:from>
    <xdr:to>
      <xdr:col>11</xdr:col>
      <xdr:colOff>333375</xdr:colOff>
      <xdr:row>17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180975</xdr:colOff>
      <xdr:row>17</xdr:row>
      <xdr:rowOff>190500</xdr:rowOff>
    </xdr:from>
    <xdr:to>
      <xdr:col>11</xdr:col>
      <xdr:colOff>285750</xdr:colOff>
      <xdr:row>28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133350</xdr:rowOff>
    </xdr:from>
    <xdr:to>
      <xdr:col>12</xdr:col>
      <xdr:colOff>457200</xdr:colOff>
      <xdr:row>19</xdr:row>
      <xdr:rowOff>23812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</xdr:colOff>
      <xdr:row>19</xdr:row>
      <xdr:rowOff>133350</xdr:rowOff>
    </xdr:from>
    <xdr:to>
      <xdr:col>12</xdr:col>
      <xdr:colOff>466725</xdr:colOff>
      <xdr:row>30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</xdr:colOff>
      <xdr:row>30</xdr:row>
      <xdr:rowOff>190500</xdr:rowOff>
    </xdr:from>
    <xdr:to>
      <xdr:col>12</xdr:col>
      <xdr:colOff>438150</xdr:colOff>
      <xdr:row>41</xdr:row>
      <xdr:rowOff>200025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133350</xdr:rowOff>
    </xdr:from>
    <xdr:to>
      <xdr:col>12</xdr:col>
      <xdr:colOff>457200</xdr:colOff>
      <xdr:row>19</xdr:row>
      <xdr:rowOff>23812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</xdr:colOff>
      <xdr:row>19</xdr:row>
      <xdr:rowOff>133350</xdr:rowOff>
    </xdr:from>
    <xdr:to>
      <xdr:col>12</xdr:col>
      <xdr:colOff>466725</xdr:colOff>
      <xdr:row>30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</xdr:colOff>
      <xdr:row>30</xdr:row>
      <xdr:rowOff>190500</xdr:rowOff>
    </xdr:from>
    <xdr:to>
      <xdr:col>12</xdr:col>
      <xdr:colOff>438150</xdr:colOff>
      <xdr:row>41</xdr:row>
      <xdr:rowOff>200025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133350</xdr:rowOff>
    </xdr:from>
    <xdr:to>
      <xdr:col>12</xdr:col>
      <xdr:colOff>457200</xdr:colOff>
      <xdr:row>19</xdr:row>
      <xdr:rowOff>23812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</xdr:colOff>
      <xdr:row>19</xdr:row>
      <xdr:rowOff>133350</xdr:rowOff>
    </xdr:from>
    <xdr:to>
      <xdr:col>12</xdr:col>
      <xdr:colOff>466725</xdr:colOff>
      <xdr:row>30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</xdr:colOff>
      <xdr:row>30</xdr:row>
      <xdr:rowOff>190500</xdr:rowOff>
    </xdr:from>
    <xdr:to>
      <xdr:col>12</xdr:col>
      <xdr:colOff>438150</xdr:colOff>
      <xdr:row>41</xdr:row>
      <xdr:rowOff>200025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"/>
  <sheetViews>
    <sheetView workbookViewId="0">
      <selection activeCell="O23" sqref="O23"/>
    </sheetView>
  </sheetViews>
  <sheetFormatPr defaultRowHeight="18.75"/>
  <sheetData>
    <row r="1" spans="1:9">
      <c r="A1" t="s">
        <v>3</v>
      </c>
    </row>
    <row r="2" spans="1:9" ht="19.5" thickBot="1"/>
    <row r="3" spans="1:9">
      <c r="A3" s="6" t="s">
        <v>4</v>
      </c>
      <c r="B3" s="6"/>
    </row>
    <row r="4" spans="1:9">
      <c r="A4" s="3" t="s">
        <v>5</v>
      </c>
      <c r="B4" s="3">
        <v>0.77917402858940665</v>
      </c>
    </row>
    <row r="5" spans="1:9">
      <c r="A5" s="3" t="s">
        <v>6</v>
      </c>
      <c r="B5" s="3">
        <v>0.60711216682824554</v>
      </c>
    </row>
    <row r="6" spans="1:9">
      <c r="A6" s="3" t="s">
        <v>7</v>
      </c>
      <c r="B6" s="3">
        <v>0.59356431051197811</v>
      </c>
    </row>
    <row r="7" spans="1:9">
      <c r="A7" s="3" t="s">
        <v>8</v>
      </c>
      <c r="B7" s="3">
        <v>0.31978815457528065</v>
      </c>
    </row>
    <row r="8" spans="1:9" ht="19.5" thickBot="1">
      <c r="A8" s="4" t="s">
        <v>9</v>
      </c>
      <c r="B8" s="4">
        <v>31</v>
      </c>
    </row>
    <row r="10" spans="1:9" ht="19.5" thickBot="1">
      <c r="A10" t="s">
        <v>10</v>
      </c>
    </row>
    <row r="11" spans="1:9">
      <c r="A11" s="5"/>
      <c r="B11" s="5" t="s">
        <v>15</v>
      </c>
      <c r="C11" s="5" t="s">
        <v>16</v>
      </c>
      <c r="D11" s="5" t="s">
        <v>17</v>
      </c>
      <c r="E11" s="5" t="s">
        <v>18</v>
      </c>
      <c r="F11" s="5" t="s">
        <v>19</v>
      </c>
    </row>
    <row r="12" spans="1:9">
      <c r="A12" s="3" t="s">
        <v>11</v>
      </c>
      <c r="B12" s="3">
        <v>1</v>
      </c>
      <c r="C12" s="3">
        <v>4.5827176463809511</v>
      </c>
      <c r="D12" s="3">
        <v>4.5827176463809511</v>
      </c>
      <c r="E12" s="3">
        <v>44.812415533169201</v>
      </c>
      <c r="F12" s="3">
        <v>2.4187734604893219E-7</v>
      </c>
    </row>
    <row r="13" spans="1:9">
      <c r="A13" s="3" t="s">
        <v>12</v>
      </c>
      <c r="B13" s="3">
        <v>29</v>
      </c>
      <c r="C13" s="3">
        <v>2.9656694503932441</v>
      </c>
      <c r="D13" s="3">
        <v>0.1022644638066636</v>
      </c>
      <c r="E13" s="3"/>
      <c r="F13" s="3"/>
    </row>
    <row r="14" spans="1:9" ht="19.5" thickBot="1">
      <c r="A14" s="4" t="s">
        <v>13</v>
      </c>
      <c r="B14" s="4">
        <v>30</v>
      </c>
      <c r="C14" s="4">
        <v>7.5483870967741957</v>
      </c>
      <c r="D14" s="4"/>
      <c r="E14" s="4"/>
      <c r="F14" s="4"/>
    </row>
    <row r="15" spans="1:9" ht="19.5" thickBot="1"/>
    <row r="16" spans="1:9">
      <c r="A16" s="5"/>
      <c r="B16" s="5" t="s">
        <v>20</v>
      </c>
      <c r="C16" s="5" t="s">
        <v>8</v>
      </c>
      <c r="D16" s="5" t="s">
        <v>21</v>
      </c>
      <c r="E16" s="5" t="s">
        <v>22</v>
      </c>
      <c r="F16" s="5" t="s">
        <v>23</v>
      </c>
      <c r="G16" s="5" t="s">
        <v>24</v>
      </c>
      <c r="H16" s="5" t="s">
        <v>25</v>
      </c>
      <c r="I16" s="5" t="s">
        <v>26</v>
      </c>
    </row>
    <row r="17" spans="1:9">
      <c r="A17" s="3" t="s">
        <v>14</v>
      </c>
      <c r="B17" s="3">
        <v>-0.75126951024492461</v>
      </c>
      <c r="C17" s="3">
        <v>0.20708940879350374</v>
      </c>
      <c r="D17" s="3">
        <v>-3.6277543821376317</v>
      </c>
      <c r="E17" s="3">
        <v>1.0877622504127939E-3</v>
      </c>
      <c r="F17" s="3">
        <v>-1.1748149076811356</v>
      </c>
      <c r="G17" s="3">
        <v>-0.32772411280871355</v>
      </c>
      <c r="H17" s="3">
        <v>-1.1748149076811356</v>
      </c>
      <c r="I17" s="3">
        <v>-0.32772411280871355</v>
      </c>
    </row>
    <row r="18" spans="1:9" ht="19.5" thickBot="1">
      <c r="A18" s="4" t="s">
        <v>27</v>
      </c>
      <c r="B18" s="4">
        <v>2.5773629723840612E-2</v>
      </c>
      <c r="C18" s="4">
        <v>3.8501389892979781E-3</v>
      </c>
      <c r="D18" s="4">
        <v>6.6942076105517669</v>
      </c>
      <c r="E18" s="4">
        <v>2.4187734604893177E-7</v>
      </c>
      <c r="F18" s="4">
        <v>1.7899211336597533E-2</v>
      </c>
      <c r="G18" s="4">
        <v>3.3648048111083691E-2</v>
      </c>
      <c r="H18" s="4">
        <v>1.7899211336597533E-2</v>
      </c>
      <c r="I18" s="4">
        <v>3.3648048111083691E-2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P38"/>
  <sheetViews>
    <sheetView workbookViewId="0">
      <selection activeCell="J12" sqref="J12"/>
    </sheetView>
  </sheetViews>
  <sheetFormatPr defaultRowHeight="18.75"/>
  <cols>
    <col min="2" max="2" width="8.796875" style="2"/>
    <col min="3" max="3" width="9.3984375" style="2" bestFit="1" customWidth="1"/>
    <col min="5" max="5" width="16.3984375" bestFit="1" customWidth="1"/>
  </cols>
  <sheetData>
    <row r="1" spans="2:16">
      <c r="E1" t="s">
        <v>58</v>
      </c>
      <c r="F1" t="s">
        <v>59</v>
      </c>
    </row>
    <row r="2" spans="2:16">
      <c r="B2" s="2" t="s">
        <v>0</v>
      </c>
      <c r="C2" s="2">
        <v>-11.577442497239961</v>
      </c>
      <c r="E2">
        <f>PRODUCT(E6:E36)</f>
        <v>2.2894080305135852E-4</v>
      </c>
      <c r="F2" s="28">
        <f>LN(E2)</f>
        <v>-8.3820470897865587</v>
      </c>
      <c r="J2" s="26" t="s">
        <v>56</v>
      </c>
    </row>
    <row r="3" spans="2:16" ht="18.75" customHeight="1">
      <c r="B3" s="2" t="s">
        <v>1</v>
      </c>
      <c r="C3" s="2">
        <v>0.23309424869157522</v>
      </c>
      <c r="J3" s="29" t="s">
        <v>60</v>
      </c>
      <c r="K3" s="29"/>
      <c r="L3" s="29"/>
      <c r="M3" s="29"/>
      <c r="N3" s="29"/>
      <c r="O3" s="29"/>
      <c r="P3" s="29"/>
    </row>
    <row r="4" spans="2:16">
      <c r="J4" s="29"/>
      <c r="K4" s="29"/>
      <c r="L4" s="29"/>
      <c r="M4" s="29"/>
      <c r="N4" s="29"/>
      <c r="O4" s="29"/>
      <c r="P4" s="29"/>
    </row>
    <row r="5" spans="2:16">
      <c r="B5" s="2" t="s">
        <v>2</v>
      </c>
      <c r="C5" s="2" t="s">
        <v>28</v>
      </c>
      <c r="D5" s="26" t="s">
        <v>55</v>
      </c>
      <c r="E5" s="27" t="s">
        <v>57</v>
      </c>
    </row>
    <row r="6" spans="2:16">
      <c r="B6" s="2">
        <v>64</v>
      </c>
      <c r="C6" s="2">
        <v>1</v>
      </c>
      <c r="D6">
        <f>1/(1+EXP(-($C$2+$C$3*B6)))</f>
        <v>0.96579531894714066</v>
      </c>
      <c r="E6">
        <f>IF(C6=1,D6,1-D6)</f>
        <v>0.96579531894714066</v>
      </c>
    </row>
    <row r="7" spans="2:16">
      <c r="B7" s="2">
        <v>67</v>
      </c>
      <c r="C7" s="2">
        <v>1</v>
      </c>
      <c r="D7">
        <f t="shared" ref="D7:D36" si="0">1/(1+EXP(-($C$2+$C$3*B7)))</f>
        <v>0.98270467085646307</v>
      </c>
      <c r="E7">
        <f t="shared" ref="E7:E36" si="1">IF(C7=1,D7,1-D7)</f>
        <v>0.98270467085646307</v>
      </c>
      <c r="J7" s="28" t="s">
        <v>61</v>
      </c>
    </row>
    <row r="8" spans="2:16">
      <c r="B8" s="2">
        <v>52</v>
      </c>
      <c r="C8" s="2">
        <v>1</v>
      </c>
      <c r="D8">
        <f t="shared" si="0"/>
        <v>0.63261657040963504</v>
      </c>
      <c r="E8">
        <f t="shared" si="1"/>
        <v>0.63261657040963504</v>
      </c>
    </row>
    <row r="9" spans="2:16">
      <c r="B9" s="2">
        <v>77</v>
      </c>
      <c r="C9" s="2">
        <v>1</v>
      </c>
      <c r="D9">
        <f t="shared" si="0"/>
        <v>0.99829215673884342</v>
      </c>
      <c r="E9">
        <f t="shared" si="1"/>
        <v>0.99829215673884342</v>
      </c>
    </row>
    <row r="10" spans="2:16">
      <c r="B10" s="2">
        <v>56</v>
      </c>
      <c r="C10" s="2">
        <v>1</v>
      </c>
      <c r="D10">
        <f t="shared" si="0"/>
        <v>0.81394272269646284</v>
      </c>
      <c r="E10">
        <f t="shared" si="1"/>
        <v>0.81394272269646284</v>
      </c>
    </row>
    <row r="11" spans="2:16">
      <c r="B11" s="2">
        <v>33</v>
      </c>
      <c r="C11" s="2">
        <v>0</v>
      </c>
      <c r="D11">
        <f t="shared" si="0"/>
        <v>2.0127561761720061E-2</v>
      </c>
      <c r="E11">
        <f t="shared" si="1"/>
        <v>0.97987243823827996</v>
      </c>
      <c r="J11" t="s">
        <v>62</v>
      </c>
    </row>
    <row r="12" spans="2:16">
      <c r="B12" s="2">
        <v>35</v>
      </c>
      <c r="C12" s="2">
        <v>0</v>
      </c>
      <c r="D12">
        <f t="shared" si="0"/>
        <v>3.1702501215862725E-2</v>
      </c>
      <c r="E12">
        <f t="shared" si="1"/>
        <v>0.96829749878413729</v>
      </c>
    </row>
    <row r="13" spans="2:16">
      <c r="B13" s="2">
        <v>56</v>
      </c>
      <c r="C13" s="2">
        <v>0</v>
      </c>
      <c r="D13">
        <f t="shared" si="0"/>
        <v>0.81394272269646284</v>
      </c>
      <c r="E13">
        <f t="shared" si="1"/>
        <v>0.18605727730353716</v>
      </c>
    </row>
    <row r="14" spans="2:16">
      <c r="B14" s="2">
        <v>67</v>
      </c>
      <c r="C14" s="2">
        <v>1</v>
      </c>
      <c r="D14">
        <f t="shared" si="0"/>
        <v>0.98270467085646307</v>
      </c>
      <c r="E14">
        <f t="shared" si="1"/>
        <v>0.98270467085646307</v>
      </c>
    </row>
    <row r="15" spans="2:16">
      <c r="B15" s="2">
        <v>57</v>
      </c>
      <c r="C15" s="2">
        <v>1</v>
      </c>
      <c r="D15">
        <f t="shared" si="0"/>
        <v>0.84669740703835605</v>
      </c>
      <c r="E15">
        <f t="shared" si="1"/>
        <v>0.84669740703835605</v>
      </c>
    </row>
    <row r="16" spans="2:16">
      <c r="B16" s="2">
        <v>24</v>
      </c>
      <c r="C16" s="2">
        <v>0</v>
      </c>
      <c r="D16">
        <f t="shared" si="0"/>
        <v>2.5144576298311828E-3</v>
      </c>
      <c r="E16">
        <f t="shared" si="1"/>
        <v>0.99748554237016884</v>
      </c>
    </row>
    <row r="17" spans="2:5">
      <c r="B17" s="2">
        <v>41</v>
      </c>
      <c r="C17" s="2">
        <v>0</v>
      </c>
      <c r="D17">
        <f t="shared" si="0"/>
        <v>0.11705920656993495</v>
      </c>
      <c r="E17">
        <f t="shared" si="1"/>
        <v>0.88294079343006504</v>
      </c>
    </row>
    <row r="18" spans="2:5">
      <c r="B18" s="2">
        <v>58</v>
      </c>
      <c r="C18" s="2">
        <v>1</v>
      </c>
      <c r="D18">
        <f t="shared" si="0"/>
        <v>0.87457432463347795</v>
      </c>
      <c r="E18">
        <f t="shared" si="1"/>
        <v>0.87457432463347795</v>
      </c>
    </row>
    <row r="19" spans="2:5">
      <c r="B19" s="2">
        <v>48</v>
      </c>
      <c r="C19" s="2">
        <v>1</v>
      </c>
      <c r="D19">
        <f t="shared" si="0"/>
        <v>0.40397766244090122</v>
      </c>
      <c r="E19">
        <f t="shared" si="1"/>
        <v>0.40397766244090122</v>
      </c>
    </row>
    <row r="20" spans="2:5">
      <c r="B20" s="2">
        <v>52</v>
      </c>
      <c r="C20" s="2">
        <v>0</v>
      </c>
      <c r="D20">
        <f t="shared" si="0"/>
        <v>0.63261657040963504</v>
      </c>
      <c r="E20">
        <f t="shared" si="1"/>
        <v>0.36738342959036496</v>
      </c>
    </row>
    <row r="21" spans="2:5">
      <c r="B21" s="2">
        <v>57</v>
      </c>
      <c r="C21" s="2">
        <v>1</v>
      </c>
      <c r="D21">
        <f t="shared" si="0"/>
        <v>0.84669740703835605</v>
      </c>
      <c r="E21">
        <f t="shared" si="1"/>
        <v>0.84669740703835605</v>
      </c>
    </row>
    <row r="22" spans="2:5">
      <c r="B22" s="2">
        <v>29</v>
      </c>
      <c r="C22" s="2">
        <v>0</v>
      </c>
      <c r="D22">
        <f t="shared" si="0"/>
        <v>8.020439473569476E-3</v>
      </c>
      <c r="E22">
        <f t="shared" si="1"/>
        <v>0.99197956052643055</v>
      </c>
    </row>
    <row r="23" spans="2:5">
      <c r="B23" s="2">
        <v>68</v>
      </c>
      <c r="C23" s="2">
        <v>1</v>
      </c>
      <c r="D23">
        <f t="shared" si="0"/>
        <v>0.98625129318886695</v>
      </c>
      <c r="E23">
        <f t="shared" si="1"/>
        <v>0.98625129318886695</v>
      </c>
    </row>
    <row r="24" spans="2:5">
      <c r="B24" s="2">
        <v>70</v>
      </c>
      <c r="C24" s="2">
        <v>1</v>
      </c>
      <c r="D24">
        <f t="shared" si="0"/>
        <v>0.99132979566488244</v>
      </c>
      <c r="E24">
        <f t="shared" si="1"/>
        <v>0.99132979566488244</v>
      </c>
    </row>
    <row r="25" spans="2:5">
      <c r="B25" s="2">
        <v>62</v>
      </c>
      <c r="C25" s="2">
        <v>1</v>
      </c>
      <c r="D25">
        <f t="shared" si="0"/>
        <v>0.94656637783805886</v>
      </c>
      <c r="E25">
        <f t="shared" si="1"/>
        <v>0.94656637783805886</v>
      </c>
    </row>
    <row r="26" spans="2:5">
      <c r="B26" s="2">
        <v>57</v>
      </c>
      <c r="C26" s="2">
        <v>1</v>
      </c>
      <c r="D26">
        <f t="shared" si="0"/>
        <v>0.84669740703835605</v>
      </c>
      <c r="E26">
        <f t="shared" si="1"/>
        <v>0.84669740703835605</v>
      </c>
    </row>
    <row r="27" spans="2:5">
      <c r="B27" s="2">
        <v>67</v>
      </c>
      <c r="C27" s="2">
        <v>1</v>
      </c>
      <c r="D27">
        <f t="shared" si="0"/>
        <v>0.98270467085646307</v>
      </c>
      <c r="E27">
        <f t="shared" si="1"/>
        <v>0.98270467085646307</v>
      </c>
    </row>
    <row r="28" spans="2:5">
      <c r="B28" s="2">
        <v>45</v>
      </c>
      <c r="C28" s="2">
        <v>1</v>
      </c>
      <c r="D28">
        <f t="shared" si="0"/>
        <v>0.25195713547620691</v>
      </c>
      <c r="E28">
        <f t="shared" si="1"/>
        <v>0.25195713547620691</v>
      </c>
    </row>
    <row r="29" spans="2:5">
      <c r="B29" s="2">
        <v>45</v>
      </c>
      <c r="C29" s="2">
        <v>0</v>
      </c>
      <c r="D29">
        <f t="shared" si="0"/>
        <v>0.25195713547620691</v>
      </c>
      <c r="E29">
        <f t="shared" si="1"/>
        <v>0.74804286452379309</v>
      </c>
    </row>
    <row r="30" spans="2:5">
      <c r="B30" s="2">
        <v>74</v>
      </c>
      <c r="C30" s="2">
        <v>1</v>
      </c>
      <c r="D30">
        <f t="shared" si="0"/>
        <v>0.99656922323488861</v>
      </c>
      <c r="E30">
        <f t="shared" si="1"/>
        <v>0.99656922323488861</v>
      </c>
    </row>
    <row r="31" spans="2:5">
      <c r="B31" s="2">
        <v>62</v>
      </c>
      <c r="C31" s="2">
        <v>1</v>
      </c>
      <c r="D31">
        <f t="shared" si="0"/>
        <v>0.94656637783805886</v>
      </c>
      <c r="E31">
        <f t="shared" si="1"/>
        <v>0.94656637783805886</v>
      </c>
    </row>
    <row r="32" spans="2:5">
      <c r="B32" s="2">
        <v>34</v>
      </c>
      <c r="C32" s="2">
        <v>0</v>
      </c>
      <c r="D32">
        <f t="shared" si="0"/>
        <v>2.5277502498170654E-2</v>
      </c>
      <c r="E32">
        <f t="shared" si="1"/>
        <v>0.97472249750182938</v>
      </c>
    </row>
    <row r="33" spans="2:5">
      <c r="B33" s="2">
        <v>22</v>
      </c>
      <c r="C33" s="2">
        <v>0</v>
      </c>
      <c r="D33">
        <f t="shared" si="0"/>
        <v>1.5790224965157404E-3</v>
      </c>
      <c r="E33">
        <f t="shared" si="1"/>
        <v>0.99842097750348424</v>
      </c>
    </row>
    <row r="34" spans="2:5">
      <c r="B34" s="2">
        <v>54</v>
      </c>
      <c r="C34" s="2">
        <v>0</v>
      </c>
      <c r="D34">
        <f t="shared" si="0"/>
        <v>0.73295104759896157</v>
      </c>
      <c r="E34">
        <f t="shared" si="1"/>
        <v>0.26704895240103843</v>
      </c>
    </row>
    <row r="35" spans="2:5">
      <c r="B35" s="2">
        <v>37</v>
      </c>
      <c r="C35" s="2">
        <v>0</v>
      </c>
      <c r="D35">
        <f t="shared" si="0"/>
        <v>4.9597021753165917E-2</v>
      </c>
      <c r="E35">
        <f t="shared" si="1"/>
        <v>0.95040297824683406</v>
      </c>
    </row>
    <row r="36" spans="2:5">
      <c r="B36" s="2">
        <v>32</v>
      </c>
      <c r="C36" s="2">
        <v>0</v>
      </c>
      <c r="D36">
        <f t="shared" si="0"/>
        <v>1.6009616690398468E-2</v>
      </c>
      <c r="E36">
        <f t="shared" si="1"/>
        <v>0.98399038330960154</v>
      </c>
    </row>
    <row r="38" spans="2:5">
      <c r="C38" s="8"/>
    </row>
  </sheetData>
  <mergeCells count="1">
    <mergeCell ref="J3:P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39"/>
  <sheetViews>
    <sheetView workbookViewId="0">
      <selection activeCell="C5" sqref="C5"/>
    </sheetView>
  </sheetViews>
  <sheetFormatPr defaultRowHeight="18.75"/>
  <cols>
    <col min="2" max="2" width="19.09765625" style="2" customWidth="1"/>
    <col min="3" max="3" width="25.8984375" style="2" customWidth="1"/>
    <col min="4" max="5" width="11.69921875" style="7" customWidth="1"/>
    <col min="6" max="6" width="11.69921875" customWidth="1"/>
    <col min="8" max="8" width="11.69921875" bestFit="1" customWidth="1"/>
    <col min="11" max="11" width="10.69921875" customWidth="1"/>
  </cols>
  <sheetData>
    <row r="2" spans="2:12" ht="21">
      <c r="B2" s="2" t="s">
        <v>0</v>
      </c>
      <c r="C2" s="2">
        <v>-11.577439999999999</v>
      </c>
      <c r="E2" s="7" t="s">
        <v>31</v>
      </c>
      <c r="F2" s="1"/>
      <c r="G2" t="s">
        <v>40</v>
      </c>
      <c r="I2" t="s">
        <v>41</v>
      </c>
      <c r="J2" t="s">
        <v>42</v>
      </c>
      <c r="K2" t="s">
        <v>43</v>
      </c>
    </row>
    <row r="3" spans="2:12">
      <c r="B3" s="2" t="s">
        <v>1</v>
      </c>
      <c r="C3" s="2">
        <v>0.233094</v>
      </c>
      <c r="E3" s="7">
        <f>LN(PRODUCT(E7:E37))</f>
        <v>-8.3820470899280615</v>
      </c>
      <c r="G3">
        <f>1-(E3/'Example-Base'!E3)</f>
        <v>0.6024181553726462</v>
      </c>
      <c r="I3">
        <f>-2*('Example-Base'!E3-'Example-Solver'!E3)</f>
        <v>25.401045919961064</v>
      </c>
      <c r="J3">
        <f>_xlfn.CHISQ.INV.RT(0.05,1)</f>
        <v>3.8414588206941236</v>
      </c>
      <c r="K3" s="19">
        <f>_xlfn.CHISQ.DIST.RT(I3,1)</f>
        <v>4.6566557559282772E-7</v>
      </c>
    </row>
    <row r="4" spans="2:12">
      <c r="B4" s="2">
        <v>50</v>
      </c>
      <c r="C4" s="2">
        <f>1/(1+EXP(-(C2+C3*B4)))</f>
        <v>0.5193053979554153</v>
      </c>
    </row>
    <row r="6" spans="2:12" ht="20.25">
      <c r="B6" s="2" t="s">
        <v>2</v>
      </c>
      <c r="C6" s="2" t="s">
        <v>28</v>
      </c>
      <c r="D6" s="7" t="s">
        <v>29</v>
      </c>
      <c r="E6" s="7" t="s">
        <v>30</v>
      </c>
      <c r="K6" t="s">
        <v>36</v>
      </c>
      <c r="L6" t="s">
        <v>37</v>
      </c>
    </row>
    <row r="7" spans="2:12">
      <c r="B7" s="2">
        <v>64</v>
      </c>
      <c r="C7" s="2">
        <v>1</v>
      </c>
      <c r="D7" s="7">
        <f>1/(1+EXP(-($C$2+$C$3*B7)))</f>
        <v>0.96579487565076183</v>
      </c>
      <c r="E7" s="7">
        <f t="shared" ref="E7:E37" si="0">IF(C7=1,D7,1-D7)</f>
        <v>0.96579487565076183</v>
      </c>
      <c r="J7">
        <v>22</v>
      </c>
      <c r="K7">
        <f>LinReg!$B$17+'Example-Solver'!B7*LinReg!$B$18</f>
        <v>0.89824279208087454</v>
      </c>
      <c r="L7" s="15">
        <v>1.5790224965157404E-3</v>
      </c>
    </row>
    <row r="8" spans="2:12">
      <c r="B8" s="2">
        <v>67</v>
      </c>
      <c r="C8" s="2">
        <v>1</v>
      </c>
      <c r="D8" s="7">
        <f t="shared" ref="D8:D13" si="1">1/(1+EXP(-($C$2+$C$3*B8)))</f>
        <v>0.98270443010200903</v>
      </c>
      <c r="E8" s="7">
        <f t="shared" si="0"/>
        <v>0.98270443010200903</v>
      </c>
      <c r="J8">
        <v>24</v>
      </c>
      <c r="K8">
        <f>LinReg!$B$17+'Example-Solver'!B8*LinReg!$B$18</f>
        <v>0.97556368125239634</v>
      </c>
      <c r="L8" s="15">
        <v>2.5144576298311828E-3</v>
      </c>
    </row>
    <row r="9" spans="2:12">
      <c r="B9" s="2">
        <v>52</v>
      </c>
      <c r="C9" s="2">
        <v>1</v>
      </c>
      <c r="D9" s="7">
        <f t="shared" si="1"/>
        <v>0.63261414524286108</v>
      </c>
      <c r="E9" s="7">
        <f t="shared" si="0"/>
        <v>0.63261414524286108</v>
      </c>
      <c r="J9">
        <v>29</v>
      </c>
      <c r="K9">
        <f>LinReg!$B$17+'Example-Solver'!B9*LinReg!$B$18</f>
        <v>0.58895923539478712</v>
      </c>
      <c r="L9" s="15">
        <v>8.020439473569476E-3</v>
      </c>
    </row>
    <row r="10" spans="2:12">
      <c r="B10" s="2">
        <v>77</v>
      </c>
      <c r="C10" s="2">
        <v>1</v>
      </c>
      <c r="D10" s="7">
        <f t="shared" si="1"/>
        <v>0.99829212834815195</v>
      </c>
      <c r="E10" s="7">
        <f t="shared" si="0"/>
        <v>0.99829212834815195</v>
      </c>
      <c r="J10">
        <v>32</v>
      </c>
      <c r="K10">
        <f>LinReg!$B$17+'Example-Solver'!B10*LinReg!$B$18</f>
        <v>1.2332999784908023</v>
      </c>
      <c r="L10" s="15">
        <v>1.6009616690398468E-2</v>
      </c>
    </row>
    <row r="11" spans="2:12">
      <c r="B11" s="2">
        <v>56</v>
      </c>
      <c r="C11" s="2">
        <v>1</v>
      </c>
      <c r="D11" s="7">
        <f t="shared" si="1"/>
        <v>0.8139409918089302</v>
      </c>
      <c r="E11" s="7">
        <f t="shared" si="0"/>
        <v>0.8139409918089302</v>
      </c>
      <c r="J11">
        <v>33</v>
      </c>
      <c r="K11">
        <f>LinReg!$B$17+'Example-Solver'!B11*LinReg!$B$18</f>
        <v>0.69205375429014959</v>
      </c>
      <c r="L11" s="15">
        <v>2.0127561761720061E-2</v>
      </c>
    </row>
    <row r="12" spans="2:12">
      <c r="B12" s="2">
        <v>33</v>
      </c>
      <c r="C12" s="2">
        <v>0</v>
      </c>
      <c r="D12" s="7">
        <f t="shared" si="1"/>
        <v>2.0127449155122525E-2</v>
      </c>
      <c r="E12" s="7">
        <f t="shared" si="0"/>
        <v>0.97987255084487745</v>
      </c>
      <c r="J12">
        <v>34</v>
      </c>
      <c r="K12">
        <f>LinReg!$B$17+'Example-Solver'!B12*LinReg!$B$18</f>
        <v>9.9260270641815529E-2</v>
      </c>
      <c r="L12" s="15">
        <v>2.5277502498170654E-2</v>
      </c>
    </row>
    <row r="13" spans="2:12">
      <c r="B13" s="2">
        <v>35</v>
      </c>
      <c r="C13" s="2">
        <v>0</v>
      </c>
      <c r="D13" s="7">
        <f t="shared" si="1"/>
        <v>3.1702310678397225E-2</v>
      </c>
      <c r="E13" s="7">
        <f t="shared" si="0"/>
        <v>0.96829768932160276</v>
      </c>
      <c r="J13">
        <v>35</v>
      </c>
      <c r="K13">
        <f>LinReg!$B$17+'Example-Solver'!B13*LinReg!$B$18</f>
        <v>0.15080753008949677</v>
      </c>
      <c r="L13" s="15">
        <v>3.1702501215862725E-2</v>
      </c>
    </row>
    <row r="14" spans="2:12">
      <c r="B14" s="2">
        <v>56</v>
      </c>
      <c r="C14" s="2">
        <v>0</v>
      </c>
      <c r="D14" s="7">
        <f t="shared" ref="D14:D37" si="2">1/(1+EXP(-($C$2+$C$3*B14)))</f>
        <v>0.8139409918089302</v>
      </c>
      <c r="E14" s="7">
        <f t="shared" si="0"/>
        <v>0.1860590081910698</v>
      </c>
      <c r="J14">
        <v>37</v>
      </c>
      <c r="K14">
        <f>LinReg!$B$17+'Example-Solver'!B14*LinReg!$B$18</f>
        <v>0.69205375429014959</v>
      </c>
      <c r="L14" s="15">
        <v>4.9597021753165917E-2</v>
      </c>
    </row>
    <row r="15" spans="2:12">
      <c r="B15" s="2">
        <v>67</v>
      </c>
      <c r="C15" s="2">
        <v>1</v>
      </c>
      <c r="D15" s="7">
        <f t="shared" si="2"/>
        <v>0.98270443010200903</v>
      </c>
      <c r="E15" s="7">
        <f t="shared" si="0"/>
        <v>0.98270443010200903</v>
      </c>
      <c r="J15">
        <v>41</v>
      </c>
      <c r="K15">
        <f>LinReg!$B$17+'Example-Solver'!B15*LinReg!$B$18</f>
        <v>0.97556368125239634</v>
      </c>
      <c r="L15" s="15">
        <v>0.11705920656993495</v>
      </c>
    </row>
    <row r="16" spans="2:12">
      <c r="B16" s="2">
        <v>57</v>
      </c>
      <c r="C16" s="2">
        <v>1</v>
      </c>
      <c r="D16" s="7">
        <f t="shared" si="2"/>
        <v>0.84669589119387412</v>
      </c>
      <c r="E16" s="7">
        <f t="shared" si="0"/>
        <v>0.84669589119387412</v>
      </c>
      <c r="J16">
        <v>45</v>
      </c>
      <c r="K16">
        <f>LinReg!$B$17+'Example-Solver'!B16*LinReg!$B$18</f>
        <v>0.71782738401399027</v>
      </c>
      <c r="L16" s="15">
        <v>0.25195713547620691</v>
      </c>
    </row>
    <row r="17" spans="2:12">
      <c r="B17" s="2">
        <v>24</v>
      </c>
      <c r="C17" s="2">
        <v>0</v>
      </c>
      <c r="D17" s="7">
        <f t="shared" si="2"/>
        <v>2.5144489232116519E-3</v>
      </c>
      <c r="E17" s="7">
        <f t="shared" si="0"/>
        <v>0.99748555107678838</v>
      </c>
      <c r="J17">
        <v>45</v>
      </c>
      <c r="K17">
        <f>LinReg!$B$17+'Example-Solver'!B17*LinReg!$B$18</f>
        <v>-0.13270239687274998</v>
      </c>
      <c r="L17" s="15">
        <v>0.25195713547620691</v>
      </c>
    </row>
    <row r="18" spans="2:12">
      <c r="B18" s="2">
        <v>41</v>
      </c>
      <c r="C18" s="2">
        <v>0</v>
      </c>
      <c r="D18" s="7">
        <f t="shared" si="2"/>
        <v>0.11705841081990527</v>
      </c>
      <c r="E18" s="7">
        <f t="shared" si="0"/>
        <v>0.88294158918009469</v>
      </c>
      <c r="J18">
        <v>48</v>
      </c>
      <c r="K18">
        <f>LinReg!$B$17+'Example-Solver'!B18*LinReg!$B$18</f>
        <v>0.30544930843254037</v>
      </c>
      <c r="L18" s="15">
        <v>0.40397766244090122</v>
      </c>
    </row>
    <row r="19" spans="2:12">
      <c r="B19" s="2">
        <v>58</v>
      </c>
      <c r="C19" s="2">
        <v>1</v>
      </c>
      <c r="D19" s="7">
        <f t="shared" si="2"/>
        <v>0.8745730163205031</v>
      </c>
      <c r="E19" s="7">
        <f t="shared" si="0"/>
        <v>0.8745730163205031</v>
      </c>
      <c r="J19">
        <v>52</v>
      </c>
      <c r="K19">
        <f>LinReg!$B$17+'Example-Solver'!B19*LinReg!$B$18</f>
        <v>0.74360101373783094</v>
      </c>
      <c r="L19" s="15">
        <v>0.63261657040963504</v>
      </c>
    </row>
    <row r="20" spans="2:12">
      <c r="B20" s="2">
        <v>48</v>
      </c>
      <c r="C20" s="2">
        <v>1</v>
      </c>
      <c r="D20" s="7">
        <f t="shared" si="2"/>
        <v>0.40397538949317141</v>
      </c>
      <c r="E20" s="7">
        <f t="shared" si="0"/>
        <v>0.40397538949317141</v>
      </c>
      <c r="J20">
        <v>52</v>
      </c>
      <c r="K20">
        <f>LinReg!$B$17+'Example-Solver'!B20*LinReg!$B$18</f>
        <v>0.48586471649942464</v>
      </c>
      <c r="L20" s="15">
        <v>0.63261657040963504</v>
      </c>
    </row>
    <row r="21" spans="2:12">
      <c r="B21" s="2">
        <v>52</v>
      </c>
      <c r="C21" s="2">
        <v>0</v>
      </c>
      <c r="D21" s="7">
        <f t="shared" si="2"/>
        <v>0.63261414524286108</v>
      </c>
      <c r="E21" s="7">
        <f t="shared" si="0"/>
        <v>0.36738585475713892</v>
      </c>
      <c r="J21">
        <v>54</v>
      </c>
      <c r="K21">
        <f>LinReg!$B$17+'Example-Solver'!B21*LinReg!$B$18</f>
        <v>0.58895923539478712</v>
      </c>
      <c r="L21" s="15">
        <v>0.73295104759896157</v>
      </c>
    </row>
    <row r="22" spans="2:12">
      <c r="B22" s="2">
        <v>57</v>
      </c>
      <c r="C22" s="2">
        <v>1</v>
      </c>
      <c r="D22" s="7">
        <f t="shared" si="2"/>
        <v>0.84669589119387412</v>
      </c>
      <c r="E22" s="7">
        <f t="shared" si="0"/>
        <v>0.84669589119387412</v>
      </c>
      <c r="J22">
        <v>56</v>
      </c>
      <c r="K22">
        <f>LinReg!$B$17+'Example-Solver'!B22*LinReg!$B$18</f>
        <v>0.71782738401399027</v>
      </c>
      <c r="L22" s="15">
        <v>0.81394272269646284</v>
      </c>
    </row>
    <row r="23" spans="2:12">
      <c r="B23" s="2">
        <v>29</v>
      </c>
      <c r="C23" s="2">
        <v>0</v>
      </c>
      <c r="D23" s="7">
        <f t="shared" si="2"/>
        <v>8.0204019620544447E-3</v>
      </c>
      <c r="E23" s="7">
        <f t="shared" si="0"/>
        <v>0.99197959803794555</v>
      </c>
      <c r="J23">
        <v>56</v>
      </c>
      <c r="K23">
        <f>LinReg!$B$17+'Example-Solver'!B23*LinReg!$B$18</f>
        <v>-3.8342482535468347E-3</v>
      </c>
      <c r="L23" s="15">
        <v>0.81394272269646284</v>
      </c>
    </row>
    <row r="24" spans="2:12">
      <c r="B24" s="2">
        <v>68</v>
      </c>
      <c r="C24" s="2">
        <v>1</v>
      </c>
      <c r="D24" s="7">
        <f t="shared" si="2"/>
        <v>0.98625109774115738</v>
      </c>
      <c r="E24" s="7">
        <f t="shared" si="0"/>
        <v>0.98625109774115738</v>
      </c>
      <c r="J24">
        <v>57</v>
      </c>
      <c r="K24">
        <f>LinReg!$B$17+'Example-Solver'!B24*LinReg!$B$18</f>
        <v>1.0013373109762371</v>
      </c>
      <c r="L24" s="15">
        <v>0.84669740703835605</v>
      </c>
    </row>
    <row r="25" spans="2:12">
      <c r="B25" s="2">
        <v>70</v>
      </c>
      <c r="C25" s="2">
        <v>1</v>
      </c>
      <c r="D25" s="7">
        <f t="shared" si="2"/>
        <v>0.99132966750195906</v>
      </c>
      <c r="E25" s="7">
        <f t="shared" si="0"/>
        <v>0.99132966750195906</v>
      </c>
      <c r="J25">
        <v>57</v>
      </c>
      <c r="K25">
        <f>LinReg!$B$17+'Example-Solver'!B25*LinReg!$B$18</f>
        <v>1.052884570423918</v>
      </c>
      <c r="L25" s="15">
        <v>0.84669740703835605</v>
      </c>
    </row>
    <row r="26" spans="2:12">
      <c r="B26" s="2">
        <v>62</v>
      </c>
      <c r="C26" s="2">
        <v>1</v>
      </c>
      <c r="D26" s="7">
        <f t="shared" si="2"/>
        <v>0.94656572427762031</v>
      </c>
      <c r="E26" s="7">
        <f t="shared" si="0"/>
        <v>0.94656572427762031</v>
      </c>
      <c r="J26">
        <v>57</v>
      </c>
      <c r="K26">
        <f>LinReg!$B$17+'Example-Solver'!B26*LinReg!$B$18</f>
        <v>0.84669553263319342</v>
      </c>
      <c r="L26" s="15">
        <v>0.84669740703835605</v>
      </c>
    </row>
    <row r="27" spans="2:12">
      <c r="B27" s="2">
        <v>57</v>
      </c>
      <c r="C27" s="2">
        <v>1</v>
      </c>
      <c r="D27" s="7">
        <f t="shared" si="2"/>
        <v>0.84669589119387412</v>
      </c>
      <c r="E27" s="7">
        <f t="shared" si="0"/>
        <v>0.84669589119387412</v>
      </c>
      <c r="J27">
        <v>58</v>
      </c>
      <c r="K27">
        <f>LinReg!$B$17+'Example-Solver'!B27*LinReg!$B$18</f>
        <v>0.71782738401399027</v>
      </c>
      <c r="L27" s="15">
        <v>0.87457432463347795</v>
      </c>
    </row>
    <row r="28" spans="2:12">
      <c r="B28" s="2">
        <v>67</v>
      </c>
      <c r="C28" s="2">
        <v>1</v>
      </c>
      <c r="D28" s="7">
        <f t="shared" si="2"/>
        <v>0.98270443010200903</v>
      </c>
      <c r="E28" s="7">
        <f t="shared" si="0"/>
        <v>0.98270443010200903</v>
      </c>
      <c r="J28">
        <v>62</v>
      </c>
      <c r="K28">
        <f>LinReg!$B$17+'Example-Solver'!B28*LinReg!$B$18</f>
        <v>0.97556368125239634</v>
      </c>
      <c r="L28" s="15">
        <v>0.94656637783805886</v>
      </c>
    </row>
    <row r="29" spans="2:12">
      <c r="B29" s="2">
        <v>45</v>
      </c>
      <c r="C29" s="2">
        <v>1</v>
      </c>
      <c r="D29" s="7">
        <f t="shared" si="2"/>
        <v>0.25195549690281671</v>
      </c>
      <c r="E29" s="7">
        <f t="shared" si="0"/>
        <v>0.25195549690281671</v>
      </c>
      <c r="J29">
        <v>62</v>
      </c>
      <c r="K29">
        <f>LinReg!$B$17+'Example-Solver'!B29*LinReg!$B$18</f>
        <v>0.40854382732790284</v>
      </c>
      <c r="L29" s="15">
        <v>0.94656637783805886</v>
      </c>
    </row>
    <row r="30" spans="2:12">
      <c r="B30" s="2">
        <v>45</v>
      </c>
      <c r="C30" s="2">
        <v>0</v>
      </c>
      <c r="D30" s="7">
        <f t="shared" si="2"/>
        <v>0.25195549690281671</v>
      </c>
      <c r="E30" s="7">
        <f t="shared" si="0"/>
        <v>0.74804450309718329</v>
      </c>
      <c r="J30">
        <v>64</v>
      </c>
      <c r="K30">
        <f>LinReg!$B$17+'Example-Solver'!B30*LinReg!$B$18</f>
        <v>0.40854382732790284</v>
      </c>
      <c r="L30" s="15">
        <v>0.96579531894714066</v>
      </c>
    </row>
    <row r="31" spans="2:12">
      <c r="B31" s="2">
        <v>74</v>
      </c>
      <c r="C31" s="2">
        <v>1</v>
      </c>
      <c r="D31" s="7">
        <f t="shared" si="2"/>
        <v>0.99656916885195801</v>
      </c>
      <c r="E31" s="7">
        <f t="shared" si="0"/>
        <v>0.99656916885195801</v>
      </c>
      <c r="J31">
        <v>67</v>
      </c>
      <c r="K31">
        <f>LinReg!$B$17+'Example-Solver'!B31*LinReg!$B$18</f>
        <v>1.1559790893192807</v>
      </c>
      <c r="L31" s="15">
        <v>0.98270467085646307</v>
      </c>
    </row>
    <row r="32" spans="2:12">
      <c r="B32" s="2">
        <v>62</v>
      </c>
      <c r="C32" s="2">
        <v>1</v>
      </c>
      <c r="D32" s="7">
        <f t="shared" si="2"/>
        <v>0.94656572427762031</v>
      </c>
      <c r="E32" s="7">
        <f t="shared" si="0"/>
        <v>0.94656572427762031</v>
      </c>
      <c r="J32">
        <v>67</v>
      </c>
      <c r="K32">
        <f>LinReg!$B$17+'Example-Solver'!B32*LinReg!$B$18</f>
        <v>0.84669553263319342</v>
      </c>
      <c r="L32" s="15">
        <v>0.98270467085646307</v>
      </c>
    </row>
    <row r="33" spans="2:12">
      <c r="B33" s="2">
        <v>34</v>
      </c>
      <c r="C33" s="2">
        <v>0</v>
      </c>
      <c r="D33" s="7">
        <f t="shared" si="2"/>
        <v>2.5277355695361794E-2</v>
      </c>
      <c r="E33" s="7">
        <f t="shared" si="0"/>
        <v>0.97472264430463817</v>
      </c>
      <c r="J33">
        <v>67</v>
      </c>
      <c r="K33">
        <f>LinReg!$B$17+'Example-Solver'!B33*LinReg!$B$18</f>
        <v>0.1250339003656562</v>
      </c>
      <c r="L33" s="15">
        <v>0.98270467085646307</v>
      </c>
    </row>
    <row r="34" spans="2:12">
      <c r="B34" s="2">
        <v>22</v>
      </c>
      <c r="C34" s="2">
        <v>0</v>
      </c>
      <c r="D34" s="7">
        <f t="shared" si="2"/>
        <v>1.5790178079647926E-3</v>
      </c>
      <c r="E34" s="7">
        <f t="shared" si="0"/>
        <v>0.99842098219203523</v>
      </c>
      <c r="J34">
        <v>68</v>
      </c>
      <c r="K34">
        <f>LinReg!$B$17+'Example-Solver'!B34*LinReg!$B$18</f>
        <v>-0.18424965632043111</v>
      </c>
      <c r="L34" s="15">
        <v>0.98625129318886695</v>
      </c>
    </row>
    <row r="35" spans="2:12">
      <c r="B35" s="2">
        <v>54</v>
      </c>
      <c r="C35" s="2">
        <v>0</v>
      </c>
      <c r="D35" s="7">
        <f t="shared" si="2"/>
        <v>0.73294890781093602</v>
      </c>
      <c r="E35" s="7">
        <f t="shared" si="0"/>
        <v>0.26705109218906398</v>
      </c>
      <c r="J35">
        <v>70</v>
      </c>
      <c r="K35">
        <f>LinReg!$B$17+'Example-Solver'!B35*LinReg!$B$18</f>
        <v>0.64050649484246847</v>
      </c>
      <c r="L35" s="15">
        <v>0.99132979566488244</v>
      </c>
    </row>
    <row r="36" spans="2:12">
      <c r="B36" s="2">
        <v>37</v>
      </c>
      <c r="C36" s="2">
        <v>0</v>
      </c>
      <c r="D36" s="7">
        <f t="shared" si="2"/>
        <v>4.9596705730199565E-2</v>
      </c>
      <c r="E36" s="7">
        <f t="shared" si="0"/>
        <v>0.95040329426980041</v>
      </c>
      <c r="J36">
        <v>74</v>
      </c>
      <c r="K36">
        <f>LinReg!$B$17+'Example-Solver'!B36*LinReg!$B$18</f>
        <v>0.202354789537178</v>
      </c>
      <c r="L36" s="15">
        <v>0.99656922323488861</v>
      </c>
    </row>
    <row r="37" spans="2:12">
      <c r="B37" s="2">
        <v>32</v>
      </c>
      <c r="C37" s="2">
        <v>0</v>
      </c>
      <c r="D37" s="7">
        <f t="shared" si="2"/>
        <v>1.6009530663531977E-2</v>
      </c>
      <c r="E37" s="7">
        <f t="shared" si="0"/>
        <v>0.98399046933646805</v>
      </c>
      <c r="J37">
        <v>77</v>
      </c>
      <c r="K37">
        <f>LinReg!$B$17+'Example-Solver'!B37*LinReg!$B$18</f>
        <v>7.3486640917974966E-2</v>
      </c>
      <c r="L37" s="15">
        <v>0.99829215673884342</v>
      </c>
    </row>
    <row r="39" spans="2:12">
      <c r="C39" s="8"/>
    </row>
  </sheetData>
  <sortState ref="J6:K36">
    <sortCondition ref="J6:J36"/>
  </sortState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L38"/>
  <sheetViews>
    <sheetView workbookViewId="0">
      <selection activeCell="F3" sqref="F3"/>
    </sheetView>
  </sheetViews>
  <sheetFormatPr defaultRowHeight="18.75"/>
  <cols>
    <col min="2" max="2" width="8.796875" style="2"/>
    <col min="3" max="3" width="9.3984375" style="2" customWidth="1"/>
    <col min="4" max="5" width="11.69921875" style="7" customWidth="1"/>
    <col min="6" max="6" width="11.69921875" customWidth="1"/>
    <col min="8" max="8" width="11.69921875" bestFit="1" customWidth="1"/>
  </cols>
  <sheetData>
    <row r="2" spans="2:12">
      <c r="B2" s="2" t="s">
        <v>0</v>
      </c>
      <c r="C2" s="2">
        <v>0.32542241675508987</v>
      </c>
      <c r="D2" s="7">
        <f>1/(1+EXP(-C2))</f>
        <v>0.58064516526429566</v>
      </c>
      <c r="E2" s="7" t="s">
        <v>31</v>
      </c>
      <c r="F2" s="1"/>
    </row>
    <row r="3" spans="2:12">
      <c r="B3" s="2" t="s">
        <v>1</v>
      </c>
      <c r="C3" s="2">
        <v>0</v>
      </c>
      <c r="E3" s="7">
        <f>LN(PRODUCT(E6:E36))</f>
        <v>-21.082570049908593</v>
      </c>
    </row>
    <row r="5" spans="2:12" ht="20.25">
      <c r="B5" s="2" t="s">
        <v>2</v>
      </c>
      <c r="C5" s="2" t="s">
        <v>28</v>
      </c>
      <c r="D5" s="7" t="s">
        <v>29</v>
      </c>
      <c r="E5" s="7" t="s">
        <v>30</v>
      </c>
      <c r="K5" t="s">
        <v>36</v>
      </c>
      <c r="L5" t="s">
        <v>37</v>
      </c>
    </row>
    <row r="6" spans="2:12">
      <c r="B6" s="2">
        <v>64</v>
      </c>
      <c r="C6" s="2">
        <v>1</v>
      </c>
      <c r="D6" s="7">
        <f>1/(1+EXP(-($C$2+$C$3*B6)))</f>
        <v>0.58064516526429566</v>
      </c>
      <c r="E6" s="7">
        <f t="shared" ref="E6:E36" si="0">IF(C6=1,D6,1-D6)</f>
        <v>0.58064516526429566</v>
      </c>
      <c r="J6">
        <v>22</v>
      </c>
      <c r="K6">
        <f>LinReg!$B$17+'Example-Base'!B6*LinReg!$B$18</f>
        <v>0.89824279208087454</v>
      </c>
      <c r="L6" s="15">
        <v>1.5790224965157404E-3</v>
      </c>
    </row>
    <row r="7" spans="2:12">
      <c r="B7" s="2">
        <v>67</v>
      </c>
      <c r="C7" s="2">
        <v>1</v>
      </c>
      <c r="D7" s="7">
        <f t="shared" ref="D7:D36" si="1">1/(1+EXP(-($C$2+$C$3*B7)))</f>
        <v>0.58064516526429566</v>
      </c>
      <c r="E7" s="7">
        <f t="shared" si="0"/>
        <v>0.58064516526429566</v>
      </c>
      <c r="J7">
        <v>24</v>
      </c>
      <c r="K7">
        <f>LinReg!$B$17+'Example-Base'!B7*LinReg!$B$18</f>
        <v>0.97556368125239634</v>
      </c>
      <c r="L7" s="15">
        <v>2.5144576298311828E-3</v>
      </c>
    </row>
    <row r="8" spans="2:12">
      <c r="B8" s="2">
        <v>52</v>
      </c>
      <c r="C8" s="2">
        <v>1</v>
      </c>
      <c r="D8" s="7">
        <f t="shared" si="1"/>
        <v>0.58064516526429566</v>
      </c>
      <c r="E8" s="7">
        <f t="shared" si="0"/>
        <v>0.58064516526429566</v>
      </c>
      <c r="J8">
        <v>29</v>
      </c>
      <c r="K8">
        <f>LinReg!$B$17+'Example-Base'!B8*LinReg!$B$18</f>
        <v>0.58895923539478712</v>
      </c>
      <c r="L8" s="15">
        <v>8.020439473569476E-3</v>
      </c>
    </row>
    <row r="9" spans="2:12">
      <c r="B9" s="2">
        <v>77</v>
      </c>
      <c r="C9" s="2">
        <v>1</v>
      </c>
      <c r="D9" s="7">
        <f t="shared" si="1"/>
        <v>0.58064516526429566</v>
      </c>
      <c r="E9" s="7">
        <f t="shared" si="0"/>
        <v>0.58064516526429566</v>
      </c>
      <c r="J9">
        <v>32</v>
      </c>
      <c r="K9">
        <f>LinReg!$B$17+'Example-Base'!B9*LinReg!$B$18</f>
        <v>1.2332999784908023</v>
      </c>
      <c r="L9" s="15">
        <v>1.6009616690398468E-2</v>
      </c>
    </row>
    <row r="10" spans="2:12">
      <c r="B10" s="2">
        <v>56</v>
      </c>
      <c r="C10" s="2">
        <v>1</v>
      </c>
      <c r="D10" s="7">
        <f t="shared" si="1"/>
        <v>0.58064516526429566</v>
      </c>
      <c r="E10" s="7">
        <f t="shared" si="0"/>
        <v>0.58064516526429566</v>
      </c>
      <c r="J10">
        <v>33</v>
      </c>
      <c r="K10">
        <f>LinReg!$B$17+'Example-Base'!B10*LinReg!$B$18</f>
        <v>0.69205375429014959</v>
      </c>
      <c r="L10" s="15">
        <v>2.0127561761720061E-2</v>
      </c>
    </row>
    <row r="11" spans="2:12">
      <c r="B11" s="2">
        <v>33</v>
      </c>
      <c r="C11" s="2">
        <v>0</v>
      </c>
      <c r="D11" s="7">
        <f t="shared" si="1"/>
        <v>0.58064516526429566</v>
      </c>
      <c r="E11" s="7">
        <f t="shared" si="0"/>
        <v>0.41935483473570434</v>
      </c>
      <c r="J11">
        <v>34</v>
      </c>
      <c r="K11">
        <f>LinReg!$B$17+'Example-Base'!B11*LinReg!$B$18</f>
        <v>9.9260270641815529E-2</v>
      </c>
      <c r="L11" s="15">
        <v>2.5277502498170654E-2</v>
      </c>
    </row>
    <row r="12" spans="2:12">
      <c r="B12" s="2">
        <v>35</v>
      </c>
      <c r="C12" s="2">
        <v>0</v>
      </c>
      <c r="D12" s="7">
        <f t="shared" si="1"/>
        <v>0.58064516526429566</v>
      </c>
      <c r="E12" s="7">
        <f t="shared" si="0"/>
        <v>0.41935483473570434</v>
      </c>
      <c r="J12">
        <v>35</v>
      </c>
      <c r="K12">
        <f>LinReg!$B$17+'Example-Base'!B12*LinReg!$B$18</f>
        <v>0.15080753008949677</v>
      </c>
      <c r="L12" s="15">
        <v>3.1702501215862725E-2</v>
      </c>
    </row>
    <row r="13" spans="2:12">
      <c r="B13" s="2">
        <v>56</v>
      </c>
      <c r="C13" s="2">
        <v>0</v>
      </c>
      <c r="D13" s="7">
        <f t="shared" si="1"/>
        <v>0.58064516526429566</v>
      </c>
      <c r="E13" s="7">
        <f t="shared" si="0"/>
        <v>0.41935483473570434</v>
      </c>
      <c r="J13">
        <v>37</v>
      </c>
      <c r="K13">
        <f>LinReg!$B$17+'Example-Base'!B13*LinReg!$B$18</f>
        <v>0.69205375429014959</v>
      </c>
      <c r="L13" s="15">
        <v>4.9597021753165917E-2</v>
      </c>
    </row>
    <row r="14" spans="2:12">
      <c r="B14" s="2">
        <v>67</v>
      </c>
      <c r="C14" s="2">
        <v>1</v>
      </c>
      <c r="D14" s="7">
        <f t="shared" si="1"/>
        <v>0.58064516526429566</v>
      </c>
      <c r="E14" s="7">
        <f t="shared" si="0"/>
        <v>0.58064516526429566</v>
      </c>
      <c r="J14">
        <v>41</v>
      </c>
      <c r="K14">
        <f>LinReg!$B$17+'Example-Base'!B14*LinReg!$B$18</f>
        <v>0.97556368125239634</v>
      </c>
      <c r="L14" s="15">
        <v>0.11705920656993495</v>
      </c>
    </row>
    <row r="15" spans="2:12">
      <c r="B15" s="2">
        <v>57</v>
      </c>
      <c r="C15" s="2">
        <v>1</v>
      </c>
      <c r="D15" s="7">
        <f t="shared" si="1"/>
        <v>0.58064516526429566</v>
      </c>
      <c r="E15" s="7">
        <f t="shared" si="0"/>
        <v>0.58064516526429566</v>
      </c>
      <c r="J15">
        <v>45</v>
      </c>
      <c r="K15">
        <f>LinReg!$B$17+'Example-Base'!B15*LinReg!$B$18</f>
        <v>0.71782738401399027</v>
      </c>
      <c r="L15" s="15">
        <v>0.25195713547620691</v>
      </c>
    </row>
    <row r="16" spans="2:12">
      <c r="B16" s="2">
        <v>24</v>
      </c>
      <c r="C16" s="2">
        <v>0</v>
      </c>
      <c r="D16" s="7">
        <f t="shared" si="1"/>
        <v>0.58064516526429566</v>
      </c>
      <c r="E16" s="7">
        <f t="shared" si="0"/>
        <v>0.41935483473570434</v>
      </c>
      <c r="J16">
        <v>45</v>
      </c>
      <c r="K16">
        <f>LinReg!$B$17+'Example-Base'!B16*LinReg!$B$18</f>
        <v>-0.13270239687274998</v>
      </c>
      <c r="L16" s="15">
        <v>0.25195713547620691</v>
      </c>
    </row>
    <row r="17" spans="2:12">
      <c r="B17" s="2">
        <v>41</v>
      </c>
      <c r="C17" s="2">
        <v>0</v>
      </c>
      <c r="D17" s="7">
        <f t="shared" si="1"/>
        <v>0.58064516526429566</v>
      </c>
      <c r="E17" s="7">
        <f t="shared" si="0"/>
        <v>0.41935483473570434</v>
      </c>
      <c r="J17">
        <v>48</v>
      </c>
      <c r="K17">
        <f>LinReg!$B$17+'Example-Base'!B17*LinReg!$B$18</f>
        <v>0.30544930843254037</v>
      </c>
      <c r="L17" s="15">
        <v>0.40397766244090122</v>
      </c>
    </row>
    <row r="18" spans="2:12">
      <c r="B18" s="2">
        <v>58</v>
      </c>
      <c r="C18" s="2">
        <v>1</v>
      </c>
      <c r="D18" s="7">
        <f t="shared" si="1"/>
        <v>0.58064516526429566</v>
      </c>
      <c r="E18" s="7">
        <f t="shared" si="0"/>
        <v>0.58064516526429566</v>
      </c>
      <c r="J18">
        <v>52</v>
      </c>
      <c r="K18">
        <f>LinReg!$B$17+'Example-Base'!B18*LinReg!$B$18</f>
        <v>0.74360101373783094</v>
      </c>
      <c r="L18" s="15">
        <v>0.63261657040963504</v>
      </c>
    </row>
    <row r="19" spans="2:12">
      <c r="B19" s="2">
        <v>48</v>
      </c>
      <c r="C19" s="2">
        <v>1</v>
      </c>
      <c r="D19" s="7">
        <f t="shared" si="1"/>
        <v>0.58064516526429566</v>
      </c>
      <c r="E19" s="7">
        <f t="shared" si="0"/>
        <v>0.58064516526429566</v>
      </c>
      <c r="J19">
        <v>52</v>
      </c>
      <c r="K19">
        <f>LinReg!$B$17+'Example-Base'!B19*LinReg!$B$18</f>
        <v>0.48586471649942464</v>
      </c>
      <c r="L19" s="15">
        <v>0.63261657040963504</v>
      </c>
    </row>
    <row r="20" spans="2:12">
      <c r="B20" s="2">
        <v>52</v>
      </c>
      <c r="C20" s="2">
        <v>0</v>
      </c>
      <c r="D20" s="7">
        <f t="shared" si="1"/>
        <v>0.58064516526429566</v>
      </c>
      <c r="E20" s="7">
        <f t="shared" si="0"/>
        <v>0.41935483473570434</v>
      </c>
      <c r="J20">
        <v>54</v>
      </c>
      <c r="K20">
        <f>LinReg!$B$17+'Example-Base'!B20*LinReg!$B$18</f>
        <v>0.58895923539478712</v>
      </c>
      <c r="L20" s="15">
        <v>0.73295104759896157</v>
      </c>
    </row>
    <row r="21" spans="2:12">
      <c r="B21" s="2">
        <v>57</v>
      </c>
      <c r="C21" s="2">
        <v>1</v>
      </c>
      <c r="D21" s="7">
        <f t="shared" si="1"/>
        <v>0.58064516526429566</v>
      </c>
      <c r="E21" s="7">
        <f t="shared" si="0"/>
        <v>0.58064516526429566</v>
      </c>
      <c r="J21">
        <v>56</v>
      </c>
      <c r="K21">
        <f>LinReg!$B$17+'Example-Base'!B21*LinReg!$B$18</f>
        <v>0.71782738401399027</v>
      </c>
      <c r="L21" s="15">
        <v>0.81394272269646284</v>
      </c>
    </row>
    <row r="22" spans="2:12">
      <c r="B22" s="2">
        <v>29</v>
      </c>
      <c r="C22" s="2">
        <v>0</v>
      </c>
      <c r="D22" s="7">
        <f t="shared" si="1"/>
        <v>0.58064516526429566</v>
      </c>
      <c r="E22" s="7">
        <f t="shared" si="0"/>
        <v>0.41935483473570434</v>
      </c>
      <c r="J22">
        <v>56</v>
      </c>
      <c r="K22">
        <f>LinReg!$B$17+'Example-Base'!B22*LinReg!$B$18</f>
        <v>-3.8342482535468347E-3</v>
      </c>
      <c r="L22" s="15">
        <v>0.81394272269646284</v>
      </c>
    </row>
    <row r="23" spans="2:12">
      <c r="B23" s="2">
        <v>68</v>
      </c>
      <c r="C23" s="2">
        <v>1</v>
      </c>
      <c r="D23" s="7">
        <f t="shared" si="1"/>
        <v>0.58064516526429566</v>
      </c>
      <c r="E23" s="7">
        <f t="shared" si="0"/>
        <v>0.58064516526429566</v>
      </c>
      <c r="J23">
        <v>57</v>
      </c>
      <c r="K23">
        <f>LinReg!$B$17+'Example-Base'!B23*LinReg!$B$18</f>
        <v>1.0013373109762371</v>
      </c>
      <c r="L23" s="15">
        <v>0.84669740703835605</v>
      </c>
    </row>
    <row r="24" spans="2:12">
      <c r="B24" s="2">
        <v>70</v>
      </c>
      <c r="C24" s="2">
        <v>1</v>
      </c>
      <c r="D24" s="7">
        <f t="shared" si="1"/>
        <v>0.58064516526429566</v>
      </c>
      <c r="E24" s="7">
        <f t="shared" si="0"/>
        <v>0.58064516526429566</v>
      </c>
      <c r="J24">
        <v>57</v>
      </c>
      <c r="K24">
        <f>LinReg!$B$17+'Example-Base'!B24*LinReg!$B$18</f>
        <v>1.052884570423918</v>
      </c>
      <c r="L24" s="15">
        <v>0.84669740703835605</v>
      </c>
    </row>
    <row r="25" spans="2:12">
      <c r="B25" s="2">
        <v>62</v>
      </c>
      <c r="C25" s="2">
        <v>1</v>
      </c>
      <c r="D25" s="7">
        <f t="shared" si="1"/>
        <v>0.58064516526429566</v>
      </c>
      <c r="E25" s="7">
        <f t="shared" si="0"/>
        <v>0.58064516526429566</v>
      </c>
      <c r="J25">
        <v>57</v>
      </c>
      <c r="K25">
        <f>LinReg!$B$17+'Example-Base'!B25*LinReg!$B$18</f>
        <v>0.84669553263319342</v>
      </c>
      <c r="L25" s="15">
        <v>0.84669740703835605</v>
      </c>
    </row>
    <row r="26" spans="2:12">
      <c r="B26" s="2">
        <v>57</v>
      </c>
      <c r="C26" s="2">
        <v>1</v>
      </c>
      <c r="D26" s="7">
        <f t="shared" si="1"/>
        <v>0.58064516526429566</v>
      </c>
      <c r="E26" s="7">
        <f t="shared" si="0"/>
        <v>0.58064516526429566</v>
      </c>
      <c r="J26">
        <v>58</v>
      </c>
      <c r="K26">
        <f>LinReg!$B$17+'Example-Base'!B26*LinReg!$B$18</f>
        <v>0.71782738401399027</v>
      </c>
      <c r="L26" s="15">
        <v>0.87457432463347795</v>
      </c>
    </row>
    <row r="27" spans="2:12">
      <c r="B27" s="2">
        <v>67</v>
      </c>
      <c r="C27" s="2">
        <v>1</v>
      </c>
      <c r="D27" s="7">
        <f t="shared" si="1"/>
        <v>0.58064516526429566</v>
      </c>
      <c r="E27" s="7">
        <f t="shared" si="0"/>
        <v>0.58064516526429566</v>
      </c>
      <c r="J27">
        <v>62</v>
      </c>
      <c r="K27">
        <f>LinReg!$B$17+'Example-Base'!B27*LinReg!$B$18</f>
        <v>0.97556368125239634</v>
      </c>
      <c r="L27" s="15">
        <v>0.94656637783805886</v>
      </c>
    </row>
    <row r="28" spans="2:12">
      <c r="B28" s="2">
        <v>45</v>
      </c>
      <c r="C28" s="2">
        <v>1</v>
      </c>
      <c r="D28" s="7">
        <f t="shared" si="1"/>
        <v>0.58064516526429566</v>
      </c>
      <c r="E28" s="7">
        <f t="shared" si="0"/>
        <v>0.58064516526429566</v>
      </c>
      <c r="J28">
        <v>62</v>
      </c>
      <c r="K28">
        <f>LinReg!$B$17+'Example-Base'!B28*LinReg!$B$18</f>
        <v>0.40854382732790284</v>
      </c>
      <c r="L28" s="15">
        <v>0.94656637783805886</v>
      </c>
    </row>
    <row r="29" spans="2:12">
      <c r="B29" s="2">
        <v>45</v>
      </c>
      <c r="C29" s="2">
        <v>0</v>
      </c>
      <c r="D29" s="7">
        <f t="shared" si="1"/>
        <v>0.58064516526429566</v>
      </c>
      <c r="E29" s="7">
        <f t="shared" si="0"/>
        <v>0.41935483473570434</v>
      </c>
      <c r="J29">
        <v>64</v>
      </c>
      <c r="K29">
        <f>LinReg!$B$17+'Example-Base'!B29*LinReg!$B$18</f>
        <v>0.40854382732790284</v>
      </c>
      <c r="L29" s="15">
        <v>0.96579531894714066</v>
      </c>
    </row>
    <row r="30" spans="2:12">
      <c r="B30" s="2">
        <v>74</v>
      </c>
      <c r="C30" s="2">
        <v>1</v>
      </c>
      <c r="D30" s="7">
        <f t="shared" si="1"/>
        <v>0.58064516526429566</v>
      </c>
      <c r="E30" s="7">
        <f t="shared" si="0"/>
        <v>0.58064516526429566</v>
      </c>
      <c r="J30">
        <v>67</v>
      </c>
      <c r="K30">
        <f>LinReg!$B$17+'Example-Base'!B30*LinReg!$B$18</f>
        <v>1.1559790893192807</v>
      </c>
      <c r="L30" s="15">
        <v>0.98270467085646307</v>
      </c>
    </row>
    <row r="31" spans="2:12">
      <c r="B31" s="2">
        <v>62</v>
      </c>
      <c r="C31" s="2">
        <v>1</v>
      </c>
      <c r="D31" s="7">
        <f t="shared" si="1"/>
        <v>0.58064516526429566</v>
      </c>
      <c r="E31" s="7">
        <f t="shared" si="0"/>
        <v>0.58064516526429566</v>
      </c>
      <c r="J31">
        <v>67</v>
      </c>
      <c r="K31">
        <f>LinReg!$B$17+'Example-Base'!B31*LinReg!$B$18</f>
        <v>0.84669553263319342</v>
      </c>
      <c r="L31" s="15">
        <v>0.98270467085646307</v>
      </c>
    </row>
    <row r="32" spans="2:12">
      <c r="B32" s="2">
        <v>34</v>
      </c>
      <c r="C32" s="2">
        <v>0</v>
      </c>
      <c r="D32" s="7">
        <f t="shared" si="1"/>
        <v>0.58064516526429566</v>
      </c>
      <c r="E32" s="7">
        <f t="shared" si="0"/>
        <v>0.41935483473570434</v>
      </c>
      <c r="J32">
        <v>67</v>
      </c>
      <c r="K32">
        <f>LinReg!$B$17+'Example-Base'!B32*LinReg!$B$18</f>
        <v>0.1250339003656562</v>
      </c>
      <c r="L32" s="15">
        <v>0.98270467085646307</v>
      </c>
    </row>
    <row r="33" spans="2:12">
      <c r="B33" s="2">
        <v>22</v>
      </c>
      <c r="C33" s="2">
        <v>0</v>
      </c>
      <c r="D33" s="7">
        <f t="shared" si="1"/>
        <v>0.58064516526429566</v>
      </c>
      <c r="E33" s="7">
        <f t="shared" si="0"/>
        <v>0.41935483473570434</v>
      </c>
      <c r="J33">
        <v>68</v>
      </c>
      <c r="K33">
        <f>LinReg!$B$17+'Example-Base'!B33*LinReg!$B$18</f>
        <v>-0.18424965632043111</v>
      </c>
      <c r="L33" s="15">
        <v>0.98625129318886695</v>
      </c>
    </row>
    <row r="34" spans="2:12">
      <c r="B34" s="2">
        <v>54</v>
      </c>
      <c r="C34" s="2">
        <v>0</v>
      </c>
      <c r="D34" s="7">
        <f t="shared" si="1"/>
        <v>0.58064516526429566</v>
      </c>
      <c r="E34" s="7">
        <f t="shared" si="0"/>
        <v>0.41935483473570434</v>
      </c>
      <c r="J34">
        <v>70</v>
      </c>
      <c r="K34">
        <f>LinReg!$B$17+'Example-Base'!B34*LinReg!$B$18</f>
        <v>0.64050649484246847</v>
      </c>
      <c r="L34" s="15">
        <v>0.99132979566488244</v>
      </c>
    </row>
    <row r="35" spans="2:12">
      <c r="B35" s="2">
        <v>37</v>
      </c>
      <c r="C35" s="2">
        <v>0</v>
      </c>
      <c r="D35" s="7">
        <f t="shared" si="1"/>
        <v>0.58064516526429566</v>
      </c>
      <c r="E35" s="7">
        <f t="shared" si="0"/>
        <v>0.41935483473570434</v>
      </c>
      <c r="J35">
        <v>74</v>
      </c>
      <c r="K35">
        <f>LinReg!$B$17+'Example-Base'!B35*LinReg!$B$18</f>
        <v>0.202354789537178</v>
      </c>
      <c r="L35" s="15">
        <v>0.99656922323488861</v>
      </c>
    </row>
    <row r="36" spans="2:12">
      <c r="B36" s="2">
        <v>32</v>
      </c>
      <c r="C36" s="2">
        <v>0</v>
      </c>
      <c r="D36" s="7">
        <f t="shared" si="1"/>
        <v>0.58064516526429566</v>
      </c>
      <c r="E36" s="7">
        <f t="shared" si="0"/>
        <v>0.41935483473570434</v>
      </c>
      <c r="J36">
        <v>77</v>
      </c>
      <c r="K36">
        <f>LinReg!$B$17+'Example-Base'!B36*LinReg!$B$18</f>
        <v>7.3486640917974966E-2</v>
      </c>
      <c r="L36" s="15">
        <v>0.99829215673884342</v>
      </c>
    </row>
    <row r="38" spans="2:12">
      <c r="C38" s="8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M42"/>
  <sheetViews>
    <sheetView workbookViewId="0">
      <selection activeCell="G3" sqref="G3"/>
    </sheetView>
  </sheetViews>
  <sheetFormatPr defaultRowHeight="18.75"/>
  <cols>
    <col min="2" max="2" width="8.796875" style="2"/>
    <col min="3" max="3" width="9.3984375" style="2" bestFit="1" customWidth="1"/>
    <col min="4" max="4" width="11.69921875" style="7" bestFit="1" customWidth="1"/>
    <col min="5" max="5" width="11.69921875" style="7" customWidth="1"/>
    <col min="7" max="7" width="11.8984375" bestFit="1" customWidth="1"/>
    <col min="8" max="8" width="9.296875" bestFit="1" customWidth="1"/>
  </cols>
  <sheetData>
    <row r="2" spans="2:13">
      <c r="B2" s="2" t="s">
        <v>0</v>
      </c>
      <c r="C2" s="2">
        <v>2.0262808228495079</v>
      </c>
      <c r="D2" s="7">
        <v>0.88352889942142032</v>
      </c>
      <c r="G2" s="7" t="s">
        <v>59</v>
      </c>
      <c r="J2" s="26" t="s">
        <v>66</v>
      </c>
    </row>
    <row r="3" spans="2:13">
      <c r="B3" s="2" t="s">
        <v>1</v>
      </c>
      <c r="C3" s="2">
        <v>0</v>
      </c>
      <c r="D3" s="7">
        <f>EXP(C3)</f>
        <v>1</v>
      </c>
      <c r="G3" s="7">
        <f>LN(PRODUCT(H10:H39))</f>
        <v>-40.187993139379415</v>
      </c>
      <c r="J3" s="27" t="s">
        <v>67</v>
      </c>
    </row>
    <row r="6" spans="2:13">
      <c r="B6" s="2" t="s">
        <v>63</v>
      </c>
      <c r="C6" s="2">
        <v>4.5</v>
      </c>
      <c r="D6" s="7" t="s">
        <v>64</v>
      </c>
    </row>
    <row r="9" spans="2:13" ht="19.5" thickBot="1">
      <c r="B9" s="13" t="s">
        <v>34</v>
      </c>
      <c r="C9" s="12" t="s">
        <v>32</v>
      </c>
      <c r="D9" s="14" t="s">
        <v>35</v>
      </c>
      <c r="E9" s="14" t="s">
        <v>33</v>
      </c>
      <c r="F9" s="14" t="s">
        <v>38</v>
      </c>
      <c r="G9" s="30" t="s">
        <v>65</v>
      </c>
      <c r="H9" s="27" t="s">
        <v>57</v>
      </c>
      <c r="L9">
        <v>1</v>
      </c>
      <c r="M9">
        <f t="shared" ref="M9:M12" si="0">1/(1+EXP(-($C$2+$C$3*L9)))</f>
        <v>0.88352889942142032</v>
      </c>
    </row>
    <row r="10" spans="2:13" ht="19.5" thickTop="1">
      <c r="B10" s="11">
        <v>4</v>
      </c>
      <c r="C10" s="9">
        <v>16</v>
      </c>
      <c r="D10" s="2">
        <v>4</v>
      </c>
      <c r="E10" s="10">
        <v>6.78</v>
      </c>
      <c r="F10">
        <f>IF(E10&lt;=$C$6,1,0)</f>
        <v>0</v>
      </c>
      <c r="G10">
        <f>1/(1+EXP(-($C$2+$C$3*B10)))</f>
        <v>0.88352889942142032</v>
      </c>
      <c r="H10">
        <f>IF(F10=1,G10,1-G10)</f>
        <v>0.11647110057857968</v>
      </c>
      <c r="L10">
        <v>2</v>
      </c>
      <c r="M10">
        <f t="shared" si="0"/>
        <v>0.88352889942142032</v>
      </c>
    </row>
    <row r="11" spans="2:13">
      <c r="B11" s="11">
        <v>4</v>
      </c>
      <c r="C11" s="9">
        <v>14.82</v>
      </c>
      <c r="D11" s="2">
        <v>6</v>
      </c>
      <c r="E11" s="10">
        <v>3.9499999999999997</v>
      </c>
      <c r="F11">
        <f t="shared" ref="F11:F39" si="1">IF(E11&lt;=$C$6,1,0)</f>
        <v>1</v>
      </c>
      <c r="G11">
        <f t="shared" ref="G11:G39" si="2">1/(1+EXP(-($C$2+$C$3*B11)))</f>
        <v>0.88352889942142032</v>
      </c>
      <c r="H11">
        <f t="shared" ref="H11:H39" si="3">IF(F11=1,G11,1-G11)</f>
        <v>0.88352889942142032</v>
      </c>
      <c r="L11">
        <v>3</v>
      </c>
      <c r="M11">
        <f t="shared" si="0"/>
        <v>0.88352889942142032</v>
      </c>
    </row>
    <row r="12" spans="2:13">
      <c r="B12" s="11">
        <v>5</v>
      </c>
      <c r="C12" s="9">
        <v>12.64</v>
      </c>
      <c r="D12" s="2">
        <v>6</v>
      </c>
      <c r="E12" s="10">
        <v>5</v>
      </c>
      <c r="F12">
        <f t="shared" si="1"/>
        <v>0</v>
      </c>
      <c r="G12">
        <f t="shared" si="2"/>
        <v>0.88352889942142032</v>
      </c>
      <c r="H12">
        <f t="shared" si="3"/>
        <v>0.11647110057857968</v>
      </c>
      <c r="L12">
        <v>4</v>
      </c>
      <c r="M12">
        <f t="shared" si="0"/>
        <v>0.88352889942142032</v>
      </c>
    </row>
    <row r="13" spans="2:13">
      <c r="B13" s="11">
        <v>4</v>
      </c>
      <c r="C13" s="9">
        <v>13.91</v>
      </c>
      <c r="D13" s="2">
        <v>8</v>
      </c>
      <c r="E13" s="10">
        <v>2.64</v>
      </c>
      <c r="F13">
        <f t="shared" si="1"/>
        <v>1</v>
      </c>
      <c r="G13">
        <f t="shared" si="2"/>
        <v>0.88352889942142032</v>
      </c>
      <c r="H13">
        <f t="shared" si="3"/>
        <v>0.88352889942142032</v>
      </c>
      <c r="L13">
        <v>5</v>
      </c>
      <c r="M13">
        <f>1/(1+EXP(-($C$2+$C$3*L13)))</f>
        <v>0.88352889942142032</v>
      </c>
    </row>
    <row r="14" spans="2:13">
      <c r="B14" s="11">
        <v>9</v>
      </c>
      <c r="C14" s="9">
        <v>12.91</v>
      </c>
      <c r="D14" s="2">
        <v>6</v>
      </c>
      <c r="E14" s="10">
        <v>5.79</v>
      </c>
      <c r="F14">
        <f t="shared" si="1"/>
        <v>0</v>
      </c>
      <c r="G14">
        <f t="shared" si="2"/>
        <v>0.88352889942142032</v>
      </c>
      <c r="H14">
        <f t="shared" si="3"/>
        <v>0.11647110057857968</v>
      </c>
      <c r="L14">
        <v>6</v>
      </c>
      <c r="M14">
        <f t="shared" ref="M14:M17" si="4">1/(1+EXP(-($C$2+$C$3*L14)))</f>
        <v>0.88352889942142032</v>
      </c>
    </row>
    <row r="15" spans="2:13">
      <c r="B15" s="11">
        <v>6</v>
      </c>
      <c r="C15" s="9">
        <v>15.82</v>
      </c>
      <c r="D15" s="2">
        <v>8</v>
      </c>
      <c r="E15" s="10">
        <v>5.45</v>
      </c>
      <c r="F15">
        <f t="shared" si="1"/>
        <v>0</v>
      </c>
      <c r="G15">
        <f t="shared" si="2"/>
        <v>0.88352889942142032</v>
      </c>
      <c r="H15">
        <f t="shared" si="3"/>
        <v>0.11647110057857968</v>
      </c>
      <c r="L15">
        <v>7</v>
      </c>
      <c r="M15">
        <f t="shared" si="4"/>
        <v>0.88352889942142032</v>
      </c>
    </row>
    <row r="16" spans="2:13">
      <c r="B16" s="11">
        <v>3</v>
      </c>
      <c r="C16" s="9">
        <v>14.91</v>
      </c>
      <c r="D16" s="2">
        <v>4</v>
      </c>
      <c r="E16" s="10">
        <v>5.8000000000000007</v>
      </c>
      <c r="F16">
        <f t="shared" si="1"/>
        <v>0</v>
      </c>
      <c r="G16">
        <f t="shared" si="2"/>
        <v>0.88352889942142032</v>
      </c>
      <c r="H16">
        <f t="shared" si="3"/>
        <v>0.11647110057857968</v>
      </c>
      <c r="L16">
        <v>8</v>
      </c>
      <c r="M16">
        <f t="shared" si="4"/>
        <v>0.88352889942142032</v>
      </c>
    </row>
    <row r="17" spans="2:13">
      <c r="B17" s="11">
        <v>2</v>
      </c>
      <c r="C17" s="9">
        <v>12.82</v>
      </c>
      <c r="D17" s="2">
        <v>5</v>
      </c>
      <c r="E17" s="10">
        <v>3.4899999999999998</v>
      </c>
      <c r="F17">
        <f t="shared" si="1"/>
        <v>1</v>
      </c>
      <c r="G17">
        <f t="shared" si="2"/>
        <v>0.88352889942142032</v>
      </c>
      <c r="H17">
        <f t="shared" si="3"/>
        <v>0.88352889942142032</v>
      </c>
      <c r="L17">
        <v>9</v>
      </c>
      <c r="M17">
        <f t="shared" si="4"/>
        <v>0.88352889942142032</v>
      </c>
    </row>
    <row r="18" spans="2:13">
      <c r="B18" s="11">
        <v>9</v>
      </c>
      <c r="C18" s="9">
        <v>13.82</v>
      </c>
      <c r="D18" s="2">
        <v>6</v>
      </c>
      <c r="E18" s="10">
        <v>8.3099999999999987</v>
      </c>
      <c r="F18">
        <f t="shared" si="1"/>
        <v>0</v>
      </c>
      <c r="G18">
        <f t="shared" si="2"/>
        <v>0.88352889942142032</v>
      </c>
      <c r="H18">
        <f t="shared" si="3"/>
        <v>0.11647110057857968</v>
      </c>
    </row>
    <row r="19" spans="2:13">
      <c r="B19" s="11">
        <v>3</v>
      </c>
      <c r="C19" s="9">
        <v>18.55</v>
      </c>
      <c r="D19" s="2">
        <v>8</v>
      </c>
      <c r="E19" s="10">
        <v>3.51</v>
      </c>
      <c r="F19">
        <f t="shared" si="1"/>
        <v>1</v>
      </c>
      <c r="G19">
        <f t="shared" si="2"/>
        <v>0.88352889942142032</v>
      </c>
      <c r="H19">
        <f t="shared" si="3"/>
        <v>0.88352889942142032</v>
      </c>
    </row>
    <row r="20" spans="2:13">
      <c r="B20" s="11">
        <v>7</v>
      </c>
      <c r="C20" s="9">
        <v>10</v>
      </c>
      <c r="D20" s="2">
        <v>6</v>
      </c>
      <c r="E20" s="10">
        <v>7.1199999999999992</v>
      </c>
      <c r="F20">
        <f t="shared" si="1"/>
        <v>0</v>
      </c>
      <c r="G20">
        <f t="shared" si="2"/>
        <v>0.88352889942142032</v>
      </c>
      <c r="H20">
        <f t="shared" si="3"/>
        <v>0.11647110057857968</v>
      </c>
    </row>
    <row r="21" spans="2:13">
      <c r="B21" s="11">
        <v>3</v>
      </c>
      <c r="C21" s="9">
        <v>16.27</v>
      </c>
      <c r="D21" s="2">
        <v>6</v>
      </c>
      <c r="E21" s="10">
        <v>3.42</v>
      </c>
      <c r="F21">
        <f t="shared" si="1"/>
        <v>1</v>
      </c>
      <c r="G21">
        <f t="shared" si="2"/>
        <v>0.88352889942142032</v>
      </c>
      <c r="H21">
        <f t="shared" si="3"/>
        <v>0.88352889942142032</v>
      </c>
    </row>
    <row r="22" spans="2:13">
      <c r="B22" s="11">
        <v>7</v>
      </c>
      <c r="C22" s="9">
        <v>10.64</v>
      </c>
      <c r="D22" s="2">
        <v>6</v>
      </c>
      <c r="E22" s="10">
        <v>3.76</v>
      </c>
      <c r="F22">
        <f t="shared" si="1"/>
        <v>1</v>
      </c>
      <c r="G22">
        <f t="shared" si="2"/>
        <v>0.88352889942142032</v>
      </c>
      <c r="H22">
        <f t="shared" si="3"/>
        <v>0.88352889942142032</v>
      </c>
    </row>
    <row r="23" spans="2:13">
      <c r="B23" s="11">
        <v>1</v>
      </c>
      <c r="C23" s="9">
        <v>11.55</v>
      </c>
      <c r="D23" s="2">
        <v>6</v>
      </c>
      <c r="E23" s="10">
        <v>3.68</v>
      </c>
      <c r="F23">
        <f t="shared" si="1"/>
        <v>1</v>
      </c>
      <c r="G23">
        <f t="shared" si="2"/>
        <v>0.88352889942142032</v>
      </c>
      <c r="H23">
        <f t="shared" si="3"/>
        <v>0.88352889942142032</v>
      </c>
    </row>
    <row r="24" spans="2:13">
      <c r="B24" s="11">
        <v>4</v>
      </c>
      <c r="C24" s="9">
        <v>14.91</v>
      </c>
      <c r="D24" s="2">
        <v>6</v>
      </c>
      <c r="E24" s="10">
        <v>5.1800000000000006</v>
      </c>
      <c r="F24">
        <f t="shared" si="1"/>
        <v>0</v>
      </c>
      <c r="G24">
        <f t="shared" si="2"/>
        <v>0.88352889942142032</v>
      </c>
      <c r="H24">
        <f t="shared" si="3"/>
        <v>0.11647110057857968</v>
      </c>
    </row>
    <row r="25" spans="2:13">
      <c r="B25" s="11">
        <v>2</v>
      </c>
      <c r="C25" s="9">
        <v>18.36</v>
      </c>
      <c r="D25" s="2">
        <v>6</v>
      </c>
      <c r="E25" s="10">
        <v>3.6</v>
      </c>
      <c r="F25">
        <f t="shared" si="1"/>
        <v>1</v>
      </c>
      <c r="G25">
        <f t="shared" si="2"/>
        <v>0.88352889942142032</v>
      </c>
      <c r="H25">
        <f t="shared" si="3"/>
        <v>0.88352889942142032</v>
      </c>
    </row>
    <row r="26" spans="2:13">
      <c r="B26" s="11">
        <v>5</v>
      </c>
      <c r="C26" s="9">
        <v>15.18</v>
      </c>
      <c r="D26" s="2">
        <v>8</v>
      </c>
      <c r="E26" s="10">
        <v>5.48</v>
      </c>
      <c r="F26">
        <f t="shared" si="1"/>
        <v>0</v>
      </c>
      <c r="G26">
        <f t="shared" si="2"/>
        <v>0.88352889942142032</v>
      </c>
      <c r="H26">
        <f t="shared" si="3"/>
        <v>0.11647110057857968</v>
      </c>
    </row>
    <row r="27" spans="2:13">
      <c r="B27" s="11">
        <v>3</v>
      </c>
      <c r="C27" s="9">
        <v>16</v>
      </c>
      <c r="D27" s="2">
        <v>4</v>
      </c>
      <c r="E27" s="10">
        <v>4.3499999999999996</v>
      </c>
      <c r="F27">
        <f t="shared" si="1"/>
        <v>1</v>
      </c>
      <c r="G27">
        <f t="shared" si="2"/>
        <v>0.88352889942142032</v>
      </c>
      <c r="H27">
        <f t="shared" si="3"/>
        <v>0.88352889942142032</v>
      </c>
    </row>
    <row r="28" spans="2:13">
      <c r="B28" s="11">
        <v>7</v>
      </c>
      <c r="C28" s="9">
        <v>18.09</v>
      </c>
      <c r="D28" s="2">
        <v>8</v>
      </c>
      <c r="E28" s="10">
        <v>7.72</v>
      </c>
      <c r="F28">
        <f t="shared" si="1"/>
        <v>0</v>
      </c>
      <c r="G28">
        <f t="shared" si="2"/>
        <v>0.88352889942142032</v>
      </c>
      <c r="H28">
        <f t="shared" si="3"/>
        <v>0.11647110057857968</v>
      </c>
    </row>
    <row r="29" spans="2:13">
      <c r="B29" s="11">
        <v>4</v>
      </c>
      <c r="C29" s="9">
        <v>17.09</v>
      </c>
      <c r="D29" s="2">
        <v>6</v>
      </c>
      <c r="E29" s="10">
        <v>3.62</v>
      </c>
      <c r="F29">
        <f t="shared" si="1"/>
        <v>1</v>
      </c>
      <c r="G29">
        <f t="shared" si="2"/>
        <v>0.88352889942142032</v>
      </c>
      <c r="H29">
        <f t="shared" si="3"/>
        <v>0.88352889942142032</v>
      </c>
    </row>
    <row r="30" spans="2:13">
      <c r="B30" s="11">
        <v>2</v>
      </c>
      <c r="C30" s="9">
        <v>14.82</v>
      </c>
      <c r="D30" s="2">
        <v>6</v>
      </c>
      <c r="E30" s="10">
        <v>5.78</v>
      </c>
      <c r="F30">
        <f t="shared" si="1"/>
        <v>0</v>
      </c>
      <c r="G30">
        <f t="shared" si="2"/>
        <v>0.88352889942142032</v>
      </c>
      <c r="H30">
        <f t="shared" si="3"/>
        <v>0.11647110057857968</v>
      </c>
    </row>
    <row r="31" spans="2:13">
      <c r="B31" s="11">
        <v>7</v>
      </c>
      <c r="C31" s="9">
        <v>13.82</v>
      </c>
      <c r="D31" s="2">
        <v>6</v>
      </c>
      <c r="E31" s="10">
        <v>6.54</v>
      </c>
      <c r="F31">
        <f t="shared" si="1"/>
        <v>0</v>
      </c>
      <c r="G31">
        <f t="shared" si="2"/>
        <v>0.88352889942142032</v>
      </c>
      <c r="H31">
        <f t="shared" si="3"/>
        <v>0.11647110057857968</v>
      </c>
    </row>
    <row r="32" spans="2:13">
      <c r="B32" s="11">
        <v>5</v>
      </c>
      <c r="C32" s="9">
        <v>17.55</v>
      </c>
      <c r="D32" s="2">
        <v>5</v>
      </c>
      <c r="E32" s="10">
        <v>4.92</v>
      </c>
      <c r="F32">
        <f t="shared" si="1"/>
        <v>0</v>
      </c>
      <c r="G32">
        <f t="shared" si="2"/>
        <v>0.88352889942142032</v>
      </c>
      <c r="H32">
        <f t="shared" si="3"/>
        <v>0.11647110057857968</v>
      </c>
    </row>
    <row r="33" spans="2:8">
      <c r="B33" s="11">
        <v>7</v>
      </c>
      <c r="C33" s="9">
        <v>15.18</v>
      </c>
      <c r="D33" s="2">
        <v>6</v>
      </c>
      <c r="E33" s="10">
        <v>6.65</v>
      </c>
      <c r="F33">
        <f t="shared" si="1"/>
        <v>0</v>
      </c>
      <c r="G33">
        <f t="shared" si="2"/>
        <v>0.88352889942142032</v>
      </c>
      <c r="H33">
        <f t="shared" si="3"/>
        <v>0.11647110057857968</v>
      </c>
    </row>
    <row r="34" spans="2:8">
      <c r="B34" s="11">
        <v>2</v>
      </c>
      <c r="C34" s="9">
        <v>18.91</v>
      </c>
      <c r="D34" s="2">
        <v>4</v>
      </c>
      <c r="E34" s="10">
        <v>6.19</v>
      </c>
      <c r="F34">
        <f t="shared" si="1"/>
        <v>0</v>
      </c>
      <c r="G34">
        <f t="shared" si="2"/>
        <v>0.88352889942142032</v>
      </c>
      <c r="H34">
        <f t="shared" si="3"/>
        <v>0.11647110057857968</v>
      </c>
    </row>
    <row r="35" spans="2:8">
      <c r="B35" s="11">
        <v>4</v>
      </c>
      <c r="C35" s="9">
        <v>17.64</v>
      </c>
      <c r="D35" s="2">
        <v>5</v>
      </c>
      <c r="E35" s="10">
        <v>5.16</v>
      </c>
      <c r="F35">
        <f t="shared" si="1"/>
        <v>0</v>
      </c>
      <c r="G35">
        <f t="shared" si="2"/>
        <v>0.88352889942142032</v>
      </c>
      <c r="H35">
        <f t="shared" si="3"/>
        <v>0.11647110057857968</v>
      </c>
    </row>
    <row r="36" spans="2:8">
      <c r="B36" s="11">
        <v>7</v>
      </c>
      <c r="C36" s="9">
        <v>14.73</v>
      </c>
      <c r="D36" s="2">
        <v>5</v>
      </c>
      <c r="E36" s="10">
        <v>7.9700000000000006</v>
      </c>
      <c r="F36">
        <f t="shared" si="1"/>
        <v>0</v>
      </c>
      <c r="G36">
        <f t="shared" si="2"/>
        <v>0.88352889942142032</v>
      </c>
      <c r="H36">
        <f t="shared" si="3"/>
        <v>0.11647110057857968</v>
      </c>
    </row>
    <row r="37" spans="2:8">
      <c r="B37" s="11">
        <v>3</v>
      </c>
      <c r="C37" s="9">
        <v>21</v>
      </c>
      <c r="D37" s="2">
        <v>8</v>
      </c>
      <c r="E37" s="10">
        <v>4.01</v>
      </c>
      <c r="F37">
        <f t="shared" si="1"/>
        <v>1</v>
      </c>
      <c r="G37">
        <f t="shared" si="2"/>
        <v>0.88352889942142032</v>
      </c>
      <c r="H37">
        <f t="shared" si="3"/>
        <v>0.88352889942142032</v>
      </c>
    </row>
    <row r="38" spans="2:8">
      <c r="B38" s="11">
        <v>6</v>
      </c>
      <c r="C38" s="9">
        <v>13.18</v>
      </c>
      <c r="D38" s="2">
        <v>7</v>
      </c>
      <c r="E38" s="10">
        <v>4.1099999999999994</v>
      </c>
      <c r="F38">
        <f t="shared" si="1"/>
        <v>1</v>
      </c>
      <c r="G38">
        <f t="shared" si="2"/>
        <v>0.88352889942142032</v>
      </c>
      <c r="H38">
        <f t="shared" si="3"/>
        <v>0.88352889942142032</v>
      </c>
    </row>
    <row r="39" spans="2:8">
      <c r="B39" s="11">
        <v>5</v>
      </c>
      <c r="C39" s="9">
        <v>17</v>
      </c>
      <c r="D39" s="2">
        <v>8</v>
      </c>
      <c r="E39" s="10">
        <v>5.75</v>
      </c>
      <c r="F39">
        <f t="shared" si="1"/>
        <v>0</v>
      </c>
      <c r="G39">
        <f t="shared" si="2"/>
        <v>0.88352889942142032</v>
      </c>
      <c r="H39">
        <f t="shared" si="3"/>
        <v>0.11647110057857968</v>
      </c>
    </row>
    <row r="40" spans="2:8">
      <c r="D40" s="2"/>
    </row>
    <row r="42" spans="2:8">
      <c r="C42" s="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M42"/>
  <sheetViews>
    <sheetView workbookViewId="0">
      <selection activeCell="B4" sqref="B4"/>
    </sheetView>
  </sheetViews>
  <sheetFormatPr defaultRowHeight="18.75"/>
  <cols>
    <col min="2" max="2" width="8.796875" style="2"/>
    <col min="3" max="3" width="9.3984375" style="2" bestFit="1" customWidth="1"/>
    <col min="4" max="4" width="11.69921875" style="7" bestFit="1" customWidth="1"/>
    <col min="5" max="5" width="11.69921875" style="7" customWidth="1"/>
    <col min="7" max="7" width="11.8984375" bestFit="1" customWidth="1"/>
    <col min="8" max="8" width="9.296875" bestFit="1" customWidth="1"/>
  </cols>
  <sheetData>
    <row r="2" spans="2:13">
      <c r="B2" s="2" t="s">
        <v>0</v>
      </c>
      <c r="C2" s="2">
        <v>2.0262808228495079</v>
      </c>
      <c r="D2" s="7">
        <f>1/(1+EXP(-C2))</f>
        <v>0.88352889942142032</v>
      </c>
      <c r="G2" s="7" t="s">
        <v>59</v>
      </c>
      <c r="J2" s="26" t="s">
        <v>66</v>
      </c>
    </row>
    <row r="3" spans="2:13">
      <c r="B3" s="2" t="s">
        <v>1</v>
      </c>
      <c r="C3" s="2">
        <v>-0.55269500305866615</v>
      </c>
      <c r="D3" s="7">
        <f>EXP(C3)</f>
        <v>0.57539702220109123</v>
      </c>
      <c r="G3" s="7">
        <f>LN(PRODUCT(H10:H39))</f>
        <v>-16.738119632153598</v>
      </c>
      <c r="H3">
        <v>-40.187993139379415</v>
      </c>
      <c r="J3" s="27" t="s">
        <v>67</v>
      </c>
    </row>
    <row r="4" spans="2:13">
      <c r="G4" t="s">
        <v>68</v>
      </c>
      <c r="H4">
        <v>0.1709</v>
      </c>
    </row>
    <row r="5" spans="2:13">
      <c r="G5" t="s">
        <v>69</v>
      </c>
      <c r="H5">
        <v>40.722670000000001</v>
      </c>
      <c r="I5">
        <f>_xlfn.CHISQ.DIST.RT(H5,1)</f>
        <v>1.7544001491419628E-10</v>
      </c>
    </row>
    <row r="6" spans="2:13">
      <c r="B6" s="2" t="s">
        <v>63</v>
      </c>
      <c r="C6" s="2">
        <v>4.5</v>
      </c>
      <c r="D6" s="7" t="s">
        <v>64</v>
      </c>
    </row>
    <row r="9" spans="2:13" ht="19.5" thickBot="1">
      <c r="B9" s="13" t="s">
        <v>34</v>
      </c>
      <c r="C9" s="12" t="s">
        <v>32</v>
      </c>
      <c r="D9" s="14" t="s">
        <v>35</v>
      </c>
      <c r="E9" s="14" t="s">
        <v>33</v>
      </c>
      <c r="F9" s="14" t="s">
        <v>38</v>
      </c>
      <c r="G9" s="30" t="s">
        <v>65</v>
      </c>
      <c r="H9" s="27" t="s">
        <v>57</v>
      </c>
      <c r="L9">
        <v>1</v>
      </c>
      <c r="M9">
        <f t="shared" ref="M9:M12" si="0">1/(1+EXP(-($C$2+$C$3*L9)))</f>
        <v>0.81360180124690795</v>
      </c>
    </row>
    <row r="10" spans="2:13" ht="19.5" thickTop="1">
      <c r="B10" s="11">
        <v>4</v>
      </c>
      <c r="C10" s="9">
        <v>16</v>
      </c>
      <c r="D10" s="2">
        <v>4</v>
      </c>
      <c r="E10" s="10">
        <v>6.78</v>
      </c>
      <c r="F10">
        <f>IF(E10&lt;=$C$6,1,0)</f>
        <v>0</v>
      </c>
      <c r="G10">
        <f>1/(1+EXP(-($C$2+$C$3*B10)))</f>
        <v>0.45400559928853618</v>
      </c>
      <c r="H10">
        <f>IF(F10=1,G10,1-G10)</f>
        <v>0.54599440071146388</v>
      </c>
      <c r="L10">
        <v>2</v>
      </c>
      <c r="M10">
        <f t="shared" si="0"/>
        <v>0.71522358097440264</v>
      </c>
    </row>
    <row r="11" spans="2:13">
      <c r="B11" s="11">
        <v>4</v>
      </c>
      <c r="C11" s="9">
        <v>14.82</v>
      </c>
      <c r="D11" s="2">
        <v>6</v>
      </c>
      <c r="E11" s="10">
        <v>3.9499999999999997</v>
      </c>
      <c r="F11">
        <f t="shared" ref="F11:F39" si="1">IF(E11&lt;=$C$6,1,0)</f>
        <v>1</v>
      </c>
      <c r="G11">
        <f t="shared" ref="G11:G39" si="2">1/(1+EXP(-($C$2+$C$3*B11)))</f>
        <v>0.45400559928853618</v>
      </c>
      <c r="H11">
        <f t="shared" ref="H11:H39" si="3">IF(F11=1,G11,1-G11)</f>
        <v>0.45400559928853618</v>
      </c>
      <c r="L11">
        <v>3</v>
      </c>
      <c r="M11">
        <f t="shared" si="0"/>
        <v>0.59102295157913831</v>
      </c>
    </row>
    <row r="12" spans="2:13">
      <c r="B12" s="11">
        <v>5</v>
      </c>
      <c r="C12" s="9">
        <v>12.64</v>
      </c>
      <c r="D12" s="2">
        <v>6</v>
      </c>
      <c r="E12" s="10">
        <v>5</v>
      </c>
      <c r="F12">
        <f t="shared" si="1"/>
        <v>0</v>
      </c>
      <c r="G12">
        <f t="shared" si="2"/>
        <v>0.32361800107019434</v>
      </c>
      <c r="H12">
        <f t="shared" si="3"/>
        <v>0.67638199892980566</v>
      </c>
      <c r="L12">
        <v>4</v>
      </c>
      <c r="M12">
        <f t="shared" si="0"/>
        <v>0.45400559928853618</v>
      </c>
    </row>
    <row r="13" spans="2:13">
      <c r="B13" s="11">
        <v>4</v>
      </c>
      <c r="C13" s="9">
        <v>13.91</v>
      </c>
      <c r="D13" s="2">
        <v>8</v>
      </c>
      <c r="E13" s="10">
        <v>2.64</v>
      </c>
      <c r="F13">
        <f t="shared" si="1"/>
        <v>1</v>
      </c>
      <c r="G13">
        <f t="shared" si="2"/>
        <v>0.45400559928853618</v>
      </c>
      <c r="H13">
        <f t="shared" si="3"/>
        <v>0.45400559928853618</v>
      </c>
      <c r="L13">
        <v>5</v>
      </c>
      <c r="M13">
        <f>1/(1+EXP(-($C$2+$C$3*L13)))</f>
        <v>0.32361800107019434</v>
      </c>
    </row>
    <row r="14" spans="2:13">
      <c r="B14" s="11">
        <v>9</v>
      </c>
      <c r="C14" s="9">
        <v>12.91</v>
      </c>
      <c r="D14" s="2">
        <v>6</v>
      </c>
      <c r="E14" s="10">
        <v>5.79</v>
      </c>
      <c r="F14">
        <f t="shared" si="1"/>
        <v>0</v>
      </c>
      <c r="G14">
        <f t="shared" si="2"/>
        <v>4.983234367909558E-2</v>
      </c>
      <c r="H14">
        <f t="shared" si="3"/>
        <v>0.95016765632090439</v>
      </c>
      <c r="L14">
        <v>6</v>
      </c>
      <c r="M14">
        <f t="shared" ref="M14:M17" si="4">1/(1+EXP(-($C$2+$C$3*L14)))</f>
        <v>0.21587156622379258</v>
      </c>
    </row>
    <row r="15" spans="2:13">
      <c r="B15" s="11">
        <v>6</v>
      </c>
      <c r="C15" s="9">
        <v>15.82</v>
      </c>
      <c r="D15" s="2">
        <v>8</v>
      </c>
      <c r="E15" s="10">
        <v>5.45</v>
      </c>
      <c r="F15">
        <f t="shared" si="1"/>
        <v>0</v>
      </c>
      <c r="G15">
        <f t="shared" si="2"/>
        <v>0.21587156622379258</v>
      </c>
      <c r="H15">
        <f t="shared" si="3"/>
        <v>0.78412843377620745</v>
      </c>
      <c r="L15">
        <v>7</v>
      </c>
      <c r="M15">
        <f t="shared" si="4"/>
        <v>0.13674595053058508</v>
      </c>
    </row>
    <row r="16" spans="2:13">
      <c r="B16" s="11">
        <v>3</v>
      </c>
      <c r="C16" s="9">
        <v>14.91</v>
      </c>
      <c r="D16" s="2">
        <v>4</v>
      </c>
      <c r="E16" s="10">
        <v>5.8000000000000007</v>
      </c>
      <c r="F16">
        <f t="shared" si="1"/>
        <v>0</v>
      </c>
      <c r="G16">
        <f t="shared" si="2"/>
        <v>0.59102295157913831</v>
      </c>
      <c r="H16">
        <f t="shared" si="3"/>
        <v>0.40897704842086169</v>
      </c>
      <c r="L16">
        <v>8</v>
      </c>
      <c r="M16">
        <f t="shared" si="4"/>
        <v>8.3533390057583479E-2</v>
      </c>
    </row>
    <row r="17" spans="2:13">
      <c r="B17" s="11">
        <v>2</v>
      </c>
      <c r="C17" s="9">
        <v>12.82</v>
      </c>
      <c r="D17" s="2">
        <v>5</v>
      </c>
      <c r="E17" s="10">
        <v>3.4899999999999998</v>
      </c>
      <c r="F17">
        <f t="shared" si="1"/>
        <v>1</v>
      </c>
      <c r="G17">
        <f t="shared" si="2"/>
        <v>0.71522358097440264</v>
      </c>
      <c r="H17">
        <f t="shared" si="3"/>
        <v>0.71522358097440264</v>
      </c>
      <c r="L17">
        <v>9</v>
      </c>
      <c r="M17">
        <f t="shared" si="4"/>
        <v>4.983234367909558E-2</v>
      </c>
    </row>
    <row r="18" spans="2:13">
      <c r="B18" s="11">
        <v>9</v>
      </c>
      <c r="C18" s="9">
        <v>13.82</v>
      </c>
      <c r="D18" s="2">
        <v>6</v>
      </c>
      <c r="E18" s="10">
        <v>8.3099999999999987</v>
      </c>
      <c r="F18">
        <f t="shared" si="1"/>
        <v>0</v>
      </c>
      <c r="G18">
        <f t="shared" si="2"/>
        <v>4.983234367909558E-2</v>
      </c>
      <c r="H18">
        <f t="shared" si="3"/>
        <v>0.95016765632090439</v>
      </c>
    </row>
    <row r="19" spans="2:13">
      <c r="B19" s="11">
        <v>3</v>
      </c>
      <c r="C19" s="9">
        <v>18.55</v>
      </c>
      <c r="D19" s="2">
        <v>8</v>
      </c>
      <c r="E19" s="10">
        <v>3.51</v>
      </c>
      <c r="F19">
        <f t="shared" si="1"/>
        <v>1</v>
      </c>
      <c r="G19">
        <f t="shared" si="2"/>
        <v>0.59102295157913831</v>
      </c>
      <c r="H19">
        <f t="shared" si="3"/>
        <v>0.59102295157913831</v>
      </c>
    </row>
    <row r="20" spans="2:13">
      <c r="B20" s="11">
        <v>7</v>
      </c>
      <c r="C20" s="9">
        <v>10</v>
      </c>
      <c r="D20" s="2">
        <v>6</v>
      </c>
      <c r="E20" s="10">
        <v>7.1199999999999992</v>
      </c>
      <c r="F20">
        <f t="shared" si="1"/>
        <v>0</v>
      </c>
      <c r="G20">
        <f t="shared" si="2"/>
        <v>0.13674595053058508</v>
      </c>
      <c r="H20">
        <f t="shared" si="3"/>
        <v>0.86325404946941497</v>
      </c>
    </row>
    <row r="21" spans="2:13">
      <c r="B21" s="11">
        <v>3</v>
      </c>
      <c r="C21" s="9">
        <v>16.27</v>
      </c>
      <c r="D21" s="2">
        <v>6</v>
      </c>
      <c r="E21" s="10">
        <v>3.42</v>
      </c>
      <c r="F21">
        <f t="shared" si="1"/>
        <v>1</v>
      </c>
      <c r="G21">
        <f t="shared" si="2"/>
        <v>0.59102295157913831</v>
      </c>
      <c r="H21">
        <f t="shared" si="3"/>
        <v>0.59102295157913831</v>
      </c>
    </row>
    <row r="22" spans="2:13">
      <c r="B22" s="11">
        <v>7</v>
      </c>
      <c r="C22" s="9">
        <v>10.64</v>
      </c>
      <c r="D22" s="2">
        <v>6</v>
      </c>
      <c r="E22" s="10">
        <v>3.76</v>
      </c>
      <c r="F22">
        <f t="shared" si="1"/>
        <v>1</v>
      </c>
      <c r="G22">
        <f t="shared" si="2"/>
        <v>0.13674595053058508</v>
      </c>
      <c r="H22">
        <f t="shared" si="3"/>
        <v>0.13674595053058508</v>
      </c>
    </row>
    <row r="23" spans="2:13">
      <c r="B23" s="11">
        <v>1</v>
      </c>
      <c r="C23" s="9">
        <v>11.55</v>
      </c>
      <c r="D23" s="2">
        <v>6</v>
      </c>
      <c r="E23" s="10">
        <v>3.68</v>
      </c>
      <c r="F23">
        <f t="shared" si="1"/>
        <v>1</v>
      </c>
      <c r="G23">
        <f t="shared" si="2"/>
        <v>0.81360180124690795</v>
      </c>
      <c r="H23">
        <f t="shared" si="3"/>
        <v>0.81360180124690795</v>
      </c>
    </row>
    <row r="24" spans="2:13">
      <c r="B24" s="11">
        <v>4</v>
      </c>
      <c r="C24" s="9">
        <v>14.91</v>
      </c>
      <c r="D24" s="2">
        <v>6</v>
      </c>
      <c r="E24" s="10">
        <v>5.1800000000000006</v>
      </c>
      <c r="F24">
        <f t="shared" si="1"/>
        <v>0</v>
      </c>
      <c r="G24">
        <f t="shared" si="2"/>
        <v>0.45400559928853618</v>
      </c>
      <c r="H24">
        <f t="shared" si="3"/>
        <v>0.54599440071146388</v>
      </c>
    </row>
    <row r="25" spans="2:13">
      <c r="B25" s="11">
        <v>2</v>
      </c>
      <c r="C25" s="9">
        <v>18.36</v>
      </c>
      <c r="D25" s="2">
        <v>6</v>
      </c>
      <c r="E25" s="10">
        <v>3.6</v>
      </c>
      <c r="F25">
        <f t="shared" si="1"/>
        <v>1</v>
      </c>
      <c r="G25">
        <f t="shared" si="2"/>
        <v>0.71522358097440264</v>
      </c>
      <c r="H25">
        <f t="shared" si="3"/>
        <v>0.71522358097440264</v>
      </c>
    </row>
    <row r="26" spans="2:13">
      <c r="B26" s="11">
        <v>5</v>
      </c>
      <c r="C26" s="9">
        <v>15.18</v>
      </c>
      <c r="D26" s="2">
        <v>8</v>
      </c>
      <c r="E26" s="10">
        <v>5.48</v>
      </c>
      <c r="F26">
        <f t="shared" si="1"/>
        <v>0</v>
      </c>
      <c r="G26">
        <f t="shared" si="2"/>
        <v>0.32361800107019434</v>
      </c>
      <c r="H26">
        <f t="shared" si="3"/>
        <v>0.67638199892980566</v>
      </c>
    </row>
    <row r="27" spans="2:13">
      <c r="B27" s="11">
        <v>3</v>
      </c>
      <c r="C27" s="9">
        <v>16</v>
      </c>
      <c r="D27" s="2">
        <v>4</v>
      </c>
      <c r="E27" s="10">
        <v>4.3499999999999996</v>
      </c>
      <c r="F27">
        <f t="shared" si="1"/>
        <v>1</v>
      </c>
      <c r="G27">
        <f t="shared" si="2"/>
        <v>0.59102295157913831</v>
      </c>
      <c r="H27">
        <f t="shared" si="3"/>
        <v>0.59102295157913831</v>
      </c>
    </row>
    <row r="28" spans="2:13">
      <c r="B28" s="11">
        <v>7</v>
      </c>
      <c r="C28" s="9">
        <v>18.09</v>
      </c>
      <c r="D28" s="2">
        <v>8</v>
      </c>
      <c r="E28" s="10">
        <v>7.72</v>
      </c>
      <c r="F28">
        <f t="shared" si="1"/>
        <v>0</v>
      </c>
      <c r="G28">
        <f t="shared" si="2"/>
        <v>0.13674595053058508</v>
      </c>
      <c r="H28">
        <f t="shared" si="3"/>
        <v>0.86325404946941497</v>
      </c>
    </row>
    <row r="29" spans="2:13">
      <c r="B29" s="11">
        <v>4</v>
      </c>
      <c r="C29" s="9">
        <v>17.09</v>
      </c>
      <c r="D29" s="2">
        <v>6</v>
      </c>
      <c r="E29" s="10">
        <v>3.62</v>
      </c>
      <c r="F29">
        <f t="shared" si="1"/>
        <v>1</v>
      </c>
      <c r="G29">
        <f t="shared" si="2"/>
        <v>0.45400559928853618</v>
      </c>
      <c r="H29">
        <f t="shared" si="3"/>
        <v>0.45400559928853618</v>
      </c>
    </row>
    <row r="30" spans="2:13">
      <c r="B30" s="11">
        <v>2</v>
      </c>
      <c r="C30" s="9">
        <v>14.82</v>
      </c>
      <c r="D30" s="2">
        <v>6</v>
      </c>
      <c r="E30" s="10">
        <v>5.78</v>
      </c>
      <c r="F30">
        <f t="shared" si="1"/>
        <v>0</v>
      </c>
      <c r="G30">
        <f t="shared" si="2"/>
        <v>0.71522358097440264</v>
      </c>
      <c r="H30">
        <f t="shared" si="3"/>
        <v>0.28477641902559736</v>
      </c>
    </row>
    <row r="31" spans="2:13">
      <c r="B31" s="11">
        <v>7</v>
      </c>
      <c r="C31" s="9">
        <v>13.82</v>
      </c>
      <c r="D31" s="2">
        <v>6</v>
      </c>
      <c r="E31" s="10">
        <v>6.54</v>
      </c>
      <c r="F31">
        <f t="shared" si="1"/>
        <v>0</v>
      </c>
      <c r="G31">
        <f t="shared" si="2"/>
        <v>0.13674595053058508</v>
      </c>
      <c r="H31">
        <f t="shared" si="3"/>
        <v>0.86325404946941497</v>
      </c>
    </row>
    <row r="32" spans="2:13">
      <c r="B32" s="11">
        <v>5</v>
      </c>
      <c r="C32" s="9">
        <v>17.55</v>
      </c>
      <c r="D32" s="2">
        <v>5</v>
      </c>
      <c r="E32" s="10">
        <v>4.92</v>
      </c>
      <c r="F32">
        <f t="shared" si="1"/>
        <v>0</v>
      </c>
      <c r="G32">
        <f t="shared" si="2"/>
        <v>0.32361800107019434</v>
      </c>
      <c r="H32">
        <f t="shared" si="3"/>
        <v>0.67638199892980566</v>
      </c>
    </row>
    <row r="33" spans="2:8">
      <c r="B33" s="11">
        <v>7</v>
      </c>
      <c r="C33" s="9">
        <v>15.18</v>
      </c>
      <c r="D33" s="2">
        <v>6</v>
      </c>
      <c r="E33" s="10">
        <v>6.65</v>
      </c>
      <c r="F33">
        <f t="shared" si="1"/>
        <v>0</v>
      </c>
      <c r="G33">
        <f t="shared" si="2"/>
        <v>0.13674595053058508</v>
      </c>
      <c r="H33">
        <f t="shared" si="3"/>
        <v>0.86325404946941497</v>
      </c>
    </row>
    <row r="34" spans="2:8">
      <c r="B34" s="11">
        <v>2</v>
      </c>
      <c r="C34" s="9">
        <v>18.91</v>
      </c>
      <c r="D34" s="2">
        <v>4</v>
      </c>
      <c r="E34" s="10">
        <v>6.19</v>
      </c>
      <c r="F34">
        <f t="shared" si="1"/>
        <v>0</v>
      </c>
      <c r="G34">
        <f t="shared" si="2"/>
        <v>0.71522358097440264</v>
      </c>
      <c r="H34">
        <f t="shared" si="3"/>
        <v>0.28477641902559736</v>
      </c>
    </row>
    <row r="35" spans="2:8">
      <c r="B35" s="11">
        <v>4</v>
      </c>
      <c r="C35" s="9">
        <v>17.64</v>
      </c>
      <c r="D35" s="2">
        <v>5</v>
      </c>
      <c r="E35" s="10">
        <v>5.16</v>
      </c>
      <c r="F35">
        <f t="shared" si="1"/>
        <v>0</v>
      </c>
      <c r="G35">
        <f t="shared" si="2"/>
        <v>0.45400559928853618</v>
      </c>
      <c r="H35">
        <f t="shared" si="3"/>
        <v>0.54599440071146388</v>
      </c>
    </row>
    <row r="36" spans="2:8">
      <c r="B36" s="11">
        <v>7</v>
      </c>
      <c r="C36" s="9">
        <v>14.73</v>
      </c>
      <c r="D36" s="2">
        <v>5</v>
      </c>
      <c r="E36" s="10">
        <v>7.9700000000000006</v>
      </c>
      <c r="F36">
        <f t="shared" si="1"/>
        <v>0</v>
      </c>
      <c r="G36">
        <f t="shared" si="2"/>
        <v>0.13674595053058508</v>
      </c>
      <c r="H36">
        <f t="shared" si="3"/>
        <v>0.86325404946941497</v>
      </c>
    </row>
    <row r="37" spans="2:8">
      <c r="B37" s="11">
        <v>3</v>
      </c>
      <c r="C37" s="9">
        <v>21</v>
      </c>
      <c r="D37" s="2">
        <v>8</v>
      </c>
      <c r="E37" s="10">
        <v>4.01</v>
      </c>
      <c r="F37">
        <f t="shared" si="1"/>
        <v>1</v>
      </c>
      <c r="G37">
        <f t="shared" si="2"/>
        <v>0.59102295157913831</v>
      </c>
      <c r="H37">
        <f t="shared" si="3"/>
        <v>0.59102295157913831</v>
      </c>
    </row>
    <row r="38" spans="2:8">
      <c r="B38" s="11">
        <v>6</v>
      </c>
      <c r="C38" s="9">
        <v>13.18</v>
      </c>
      <c r="D38" s="2">
        <v>7</v>
      </c>
      <c r="E38" s="10">
        <v>4.1099999999999994</v>
      </c>
      <c r="F38">
        <f t="shared" si="1"/>
        <v>1</v>
      </c>
      <c r="G38">
        <f t="shared" si="2"/>
        <v>0.21587156622379258</v>
      </c>
      <c r="H38">
        <f t="shared" si="3"/>
        <v>0.21587156622379258</v>
      </c>
    </row>
    <row r="39" spans="2:8">
      <c r="B39" s="11">
        <v>5</v>
      </c>
      <c r="C39" s="9">
        <v>17</v>
      </c>
      <c r="D39" s="2">
        <v>8</v>
      </c>
      <c r="E39" s="10">
        <v>5.75</v>
      </c>
      <c r="F39">
        <f t="shared" si="1"/>
        <v>0</v>
      </c>
      <c r="G39">
        <f t="shared" si="2"/>
        <v>0.32361800107019434</v>
      </c>
      <c r="H39">
        <f t="shared" si="3"/>
        <v>0.67638199892980566</v>
      </c>
    </row>
    <row r="40" spans="2:8">
      <c r="D40" s="2"/>
    </row>
    <row r="42" spans="2:8">
      <c r="C42" s="8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L41"/>
  <sheetViews>
    <sheetView workbookViewId="0">
      <selection activeCell="J8" sqref="J8"/>
    </sheetView>
  </sheetViews>
  <sheetFormatPr defaultRowHeight="18.75"/>
  <cols>
    <col min="2" max="2" width="8.796875" style="2"/>
    <col min="3" max="3" width="9.3984375" style="2" bestFit="1" customWidth="1"/>
    <col min="4" max="4" width="11.69921875" style="7" bestFit="1" customWidth="1"/>
    <col min="5" max="5" width="11.69921875" style="7" customWidth="1"/>
    <col min="6" max="6" width="11.69921875" customWidth="1"/>
    <col min="8" max="8" width="11.69921875" bestFit="1" customWidth="1"/>
  </cols>
  <sheetData>
    <row r="2" spans="2:12" ht="21.75">
      <c r="B2" s="2" t="s">
        <v>0</v>
      </c>
      <c r="C2" s="2">
        <v>2.0262808228495079</v>
      </c>
      <c r="E2" s="7" t="s">
        <v>31</v>
      </c>
      <c r="F2" s="1"/>
      <c r="G2" t="s">
        <v>39</v>
      </c>
      <c r="H2">
        <f>1/(1+EXP(-C2))</f>
        <v>0.88352889942142032</v>
      </c>
      <c r="J2" t="s">
        <v>44</v>
      </c>
      <c r="K2">
        <f>1-(E3/'InClass-Solver-Null'!E3)</f>
        <v>0.17098417691455436</v>
      </c>
    </row>
    <row r="3" spans="2:12">
      <c r="B3" s="2" t="s">
        <v>48</v>
      </c>
      <c r="C3" s="2">
        <v>-0.55269500305866615</v>
      </c>
      <c r="E3" s="7">
        <f>LN(PRODUCT(F9:F39))</f>
        <v>-16.738119632153598</v>
      </c>
      <c r="G3" t="s">
        <v>45</v>
      </c>
      <c r="H3">
        <f>EXP(C3)</f>
        <v>0.57539702220109123</v>
      </c>
      <c r="J3" t="s">
        <v>51</v>
      </c>
      <c r="K3">
        <f>-2*('InClass-Solver-Null'!E3-'InClass3-Solver'!E3)</f>
        <v>11.082335955767721</v>
      </c>
      <c r="L3">
        <f>_xlfn.CHISQ.DIST.RT(K3,COUNT(C3:C5))</f>
        <v>8.715394136497624E-4</v>
      </c>
    </row>
    <row r="4" spans="2:12">
      <c r="H4">
        <f>1/H3</f>
        <v>1.737930440054515</v>
      </c>
    </row>
    <row r="7" spans="2:12">
      <c r="D7" s="7">
        <v>4.5</v>
      </c>
    </row>
    <row r="8" spans="2:12" ht="20.25">
      <c r="B8" s="11" t="s">
        <v>34</v>
      </c>
      <c r="C8" s="2" t="s">
        <v>33</v>
      </c>
      <c r="D8" s="2" t="s">
        <v>38</v>
      </c>
      <c r="E8" s="7" t="s">
        <v>29</v>
      </c>
      <c r="F8" s="7" t="s">
        <v>30</v>
      </c>
    </row>
    <row r="9" spans="2:12">
      <c r="B9" s="11">
        <v>4</v>
      </c>
      <c r="C9" s="10">
        <v>6.78</v>
      </c>
      <c r="D9" s="2">
        <f t="shared" ref="D9:D38" si="0">IF(C9&lt;$D$7,1,0)</f>
        <v>0</v>
      </c>
      <c r="E9" s="7">
        <f t="shared" ref="E9:E38" si="1">1/(1+EXP(-($C$2+$C$3*B9)))</f>
        <v>0.45400559928853618</v>
      </c>
      <c r="F9" s="7">
        <f t="shared" ref="F9:F38" si="2">IF(D9=1,E9,1-E9)</f>
        <v>0.54599440071146388</v>
      </c>
    </row>
    <row r="10" spans="2:12">
      <c r="B10" s="11">
        <v>4</v>
      </c>
      <c r="C10" s="10">
        <v>3.9499999999999997</v>
      </c>
      <c r="D10" s="2">
        <f t="shared" si="0"/>
        <v>1</v>
      </c>
      <c r="E10" s="7">
        <f t="shared" si="1"/>
        <v>0.45400559928853618</v>
      </c>
      <c r="F10" s="7">
        <f t="shared" si="2"/>
        <v>0.45400559928853618</v>
      </c>
    </row>
    <row r="11" spans="2:12">
      <c r="B11" s="11">
        <v>5</v>
      </c>
      <c r="C11" s="10">
        <v>5</v>
      </c>
      <c r="D11" s="2">
        <f t="shared" si="0"/>
        <v>0</v>
      </c>
      <c r="E11" s="7">
        <f t="shared" si="1"/>
        <v>0.32361800107019434</v>
      </c>
      <c r="F11" s="7">
        <f t="shared" si="2"/>
        <v>0.67638199892980566</v>
      </c>
    </row>
    <row r="12" spans="2:12">
      <c r="B12" s="11">
        <v>4</v>
      </c>
      <c r="C12" s="10">
        <v>2.64</v>
      </c>
      <c r="D12" s="2">
        <f t="shared" si="0"/>
        <v>1</v>
      </c>
      <c r="E12" s="7">
        <f t="shared" si="1"/>
        <v>0.45400559928853618</v>
      </c>
      <c r="F12" s="7">
        <f t="shared" si="2"/>
        <v>0.45400559928853618</v>
      </c>
    </row>
    <row r="13" spans="2:12">
      <c r="B13" s="11">
        <v>9</v>
      </c>
      <c r="C13" s="10">
        <v>5.79</v>
      </c>
      <c r="D13" s="2">
        <f t="shared" si="0"/>
        <v>0</v>
      </c>
      <c r="E13" s="7">
        <f t="shared" si="1"/>
        <v>4.983234367909558E-2</v>
      </c>
      <c r="F13" s="7">
        <f t="shared" si="2"/>
        <v>0.95016765632090439</v>
      </c>
    </row>
    <row r="14" spans="2:12">
      <c r="B14" s="11">
        <v>6</v>
      </c>
      <c r="C14" s="10">
        <v>5.45</v>
      </c>
      <c r="D14" s="2">
        <f t="shared" si="0"/>
        <v>0</v>
      </c>
      <c r="E14" s="7">
        <f t="shared" si="1"/>
        <v>0.21587156622379258</v>
      </c>
      <c r="F14" s="7">
        <f t="shared" si="2"/>
        <v>0.78412843377620745</v>
      </c>
    </row>
    <row r="15" spans="2:12">
      <c r="B15" s="11">
        <v>3</v>
      </c>
      <c r="C15" s="10">
        <v>5.8000000000000007</v>
      </c>
      <c r="D15" s="2">
        <f t="shared" si="0"/>
        <v>0</v>
      </c>
      <c r="E15" s="7">
        <f t="shared" si="1"/>
        <v>0.59102295157913831</v>
      </c>
      <c r="F15" s="7">
        <f t="shared" si="2"/>
        <v>0.40897704842086169</v>
      </c>
    </row>
    <row r="16" spans="2:12">
      <c r="B16" s="11">
        <v>2</v>
      </c>
      <c r="C16" s="10">
        <v>3.4899999999999998</v>
      </c>
      <c r="D16" s="2">
        <f t="shared" si="0"/>
        <v>1</v>
      </c>
      <c r="E16" s="7">
        <f t="shared" si="1"/>
        <v>0.71522358097440264</v>
      </c>
      <c r="F16" s="7">
        <f t="shared" si="2"/>
        <v>0.71522358097440264</v>
      </c>
    </row>
    <row r="17" spans="2:6">
      <c r="B17" s="11">
        <v>9</v>
      </c>
      <c r="C17" s="10">
        <v>8.3099999999999987</v>
      </c>
      <c r="D17" s="2">
        <f t="shared" si="0"/>
        <v>0</v>
      </c>
      <c r="E17" s="7">
        <f t="shared" si="1"/>
        <v>4.983234367909558E-2</v>
      </c>
      <c r="F17" s="7">
        <f t="shared" si="2"/>
        <v>0.95016765632090439</v>
      </c>
    </row>
    <row r="18" spans="2:6">
      <c r="B18" s="11">
        <v>3</v>
      </c>
      <c r="C18" s="10">
        <v>3.51</v>
      </c>
      <c r="D18" s="2">
        <f t="shared" si="0"/>
        <v>1</v>
      </c>
      <c r="E18" s="7">
        <f t="shared" si="1"/>
        <v>0.59102295157913831</v>
      </c>
      <c r="F18" s="7">
        <f t="shared" si="2"/>
        <v>0.59102295157913831</v>
      </c>
    </row>
    <row r="19" spans="2:6">
      <c r="B19" s="11">
        <v>7</v>
      </c>
      <c r="C19" s="10">
        <v>7.1199999999999992</v>
      </c>
      <c r="D19" s="2">
        <f t="shared" si="0"/>
        <v>0</v>
      </c>
      <c r="E19" s="7">
        <f t="shared" si="1"/>
        <v>0.13674595053058508</v>
      </c>
      <c r="F19" s="7">
        <f t="shared" si="2"/>
        <v>0.86325404946941497</v>
      </c>
    </row>
    <row r="20" spans="2:6">
      <c r="B20" s="11">
        <v>3</v>
      </c>
      <c r="C20" s="10">
        <v>3.42</v>
      </c>
      <c r="D20" s="2">
        <f t="shared" si="0"/>
        <v>1</v>
      </c>
      <c r="E20" s="7">
        <f t="shared" si="1"/>
        <v>0.59102295157913831</v>
      </c>
      <c r="F20" s="7">
        <f t="shared" si="2"/>
        <v>0.59102295157913831</v>
      </c>
    </row>
    <row r="21" spans="2:6">
      <c r="B21" s="11">
        <v>7</v>
      </c>
      <c r="C21" s="10">
        <v>3.76</v>
      </c>
      <c r="D21" s="2">
        <f t="shared" si="0"/>
        <v>1</v>
      </c>
      <c r="E21" s="7">
        <f t="shared" si="1"/>
        <v>0.13674595053058508</v>
      </c>
      <c r="F21" s="7">
        <f t="shared" si="2"/>
        <v>0.13674595053058508</v>
      </c>
    </row>
    <row r="22" spans="2:6">
      <c r="B22" s="11">
        <v>1</v>
      </c>
      <c r="C22" s="10">
        <v>3.68</v>
      </c>
      <c r="D22" s="2">
        <f t="shared" si="0"/>
        <v>1</v>
      </c>
      <c r="E22" s="7">
        <f t="shared" si="1"/>
        <v>0.81360180124690795</v>
      </c>
      <c r="F22" s="7">
        <f t="shared" si="2"/>
        <v>0.81360180124690795</v>
      </c>
    </row>
    <row r="23" spans="2:6">
      <c r="B23" s="11">
        <v>4</v>
      </c>
      <c r="C23" s="10">
        <v>5.1800000000000006</v>
      </c>
      <c r="D23" s="2">
        <f t="shared" si="0"/>
        <v>0</v>
      </c>
      <c r="E23" s="7">
        <f t="shared" si="1"/>
        <v>0.45400559928853618</v>
      </c>
      <c r="F23" s="7">
        <f t="shared" si="2"/>
        <v>0.54599440071146388</v>
      </c>
    </row>
    <row r="24" spans="2:6">
      <c r="B24" s="11">
        <v>2</v>
      </c>
      <c r="C24" s="10">
        <v>3.6</v>
      </c>
      <c r="D24" s="2">
        <f t="shared" si="0"/>
        <v>1</v>
      </c>
      <c r="E24" s="7">
        <f t="shared" si="1"/>
        <v>0.71522358097440264</v>
      </c>
      <c r="F24" s="7">
        <f t="shared" si="2"/>
        <v>0.71522358097440264</v>
      </c>
    </row>
    <row r="25" spans="2:6">
      <c r="B25" s="11">
        <v>5</v>
      </c>
      <c r="C25" s="10">
        <v>5.48</v>
      </c>
      <c r="D25" s="2">
        <f t="shared" si="0"/>
        <v>0</v>
      </c>
      <c r="E25" s="7">
        <f t="shared" si="1"/>
        <v>0.32361800107019434</v>
      </c>
      <c r="F25" s="7">
        <f t="shared" si="2"/>
        <v>0.67638199892980566</v>
      </c>
    </row>
    <row r="26" spans="2:6">
      <c r="B26" s="11">
        <v>3</v>
      </c>
      <c r="C26" s="10">
        <v>4.3499999999999996</v>
      </c>
      <c r="D26" s="2">
        <f t="shared" si="0"/>
        <v>1</v>
      </c>
      <c r="E26" s="7">
        <f t="shared" si="1"/>
        <v>0.59102295157913831</v>
      </c>
      <c r="F26" s="7">
        <f t="shared" si="2"/>
        <v>0.59102295157913831</v>
      </c>
    </row>
    <row r="27" spans="2:6">
      <c r="B27" s="11">
        <v>7</v>
      </c>
      <c r="C27" s="10">
        <v>7.72</v>
      </c>
      <c r="D27" s="2">
        <f t="shared" si="0"/>
        <v>0</v>
      </c>
      <c r="E27" s="7">
        <f t="shared" si="1"/>
        <v>0.13674595053058508</v>
      </c>
      <c r="F27" s="7">
        <f t="shared" si="2"/>
        <v>0.86325404946941497</v>
      </c>
    </row>
    <row r="28" spans="2:6">
      <c r="B28" s="11">
        <v>4</v>
      </c>
      <c r="C28" s="10">
        <v>3.62</v>
      </c>
      <c r="D28" s="2">
        <f t="shared" si="0"/>
        <v>1</v>
      </c>
      <c r="E28" s="7">
        <f t="shared" si="1"/>
        <v>0.45400559928853618</v>
      </c>
      <c r="F28" s="7">
        <f t="shared" si="2"/>
        <v>0.45400559928853618</v>
      </c>
    </row>
    <row r="29" spans="2:6">
      <c r="B29" s="11">
        <v>2</v>
      </c>
      <c r="C29" s="10">
        <v>5.78</v>
      </c>
      <c r="D29" s="2">
        <f t="shared" si="0"/>
        <v>0</v>
      </c>
      <c r="E29" s="7">
        <f t="shared" si="1"/>
        <v>0.71522358097440264</v>
      </c>
      <c r="F29" s="7">
        <f t="shared" si="2"/>
        <v>0.28477641902559736</v>
      </c>
    </row>
    <row r="30" spans="2:6">
      <c r="B30" s="11">
        <v>7</v>
      </c>
      <c r="C30" s="10">
        <v>6.54</v>
      </c>
      <c r="D30" s="2">
        <f t="shared" si="0"/>
        <v>0</v>
      </c>
      <c r="E30" s="7">
        <f t="shared" si="1"/>
        <v>0.13674595053058508</v>
      </c>
      <c r="F30" s="7">
        <f t="shared" si="2"/>
        <v>0.86325404946941497</v>
      </c>
    </row>
    <row r="31" spans="2:6">
      <c r="B31" s="11">
        <v>5</v>
      </c>
      <c r="C31" s="10">
        <v>4.92</v>
      </c>
      <c r="D31" s="2">
        <f t="shared" si="0"/>
        <v>0</v>
      </c>
      <c r="E31" s="7">
        <f t="shared" si="1"/>
        <v>0.32361800107019434</v>
      </c>
      <c r="F31" s="7">
        <f t="shared" si="2"/>
        <v>0.67638199892980566</v>
      </c>
    </row>
    <row r="32" spans="2:6">
      <c r="B32" s="11">
        <v>7</v>
      </c>
      <c r="C32" s="10">
        <v>6.65</v>
      </c>
      <c r="D32" s="2">
        <f t="shared" si="0"/>
        <v>0</v>
      </c>
      <c r="E32" s="7">
        <f t="shared" si="1"/>
        <v>0.13674595053058508</v>
      </c>
      <c r="F32" s="7">
        <f t="shared" si="2"/>
        <v>0.86325404946941497</v>
      </c>
    </row>
    <row r="33" spans="2:6">
      <c r="B33" s="11">
        <v>2</v>
      </c>
      <c r="C33" s="10">
        <v>6.19</v>
      </c>
      <c r="D33" s="2">
        <f t="shared" si="0"/>
        <v>0</v>
      </c>
      <c r="E33" s="7">
        <f t="shared" si="1"/>
        <v>0.71522358097440264</v>
      </c>
      <c r="F33" s="7">
        <f t="shared" si="2"/>
        <v>0.28477641902559736</v>
      </c>
    </row>
    <row r="34" spans="2:6">
      <c r="B34" s="11">
        <v>4</v>
      </c>
      <c r="C34" s="10">
        <v>5.16</v>
      </c>
      <c r="D34" s="2">
        <f t="shared" si="0"/>
        <v>0</v>
      </c>
      <c r="E34" s="7">
        <f t="shared" si="1"/>
        <v>0.45400559928853618</v>
      </c>
      <c r="F34" s="7">
        <f t="shared" si="2"/>
        <v>0.54599440071146388</v>
      </c>
    </row>
    <row r="35" spans="2:6">
      <c r="B35" s="11">
        <v>7</v>
      </c>
      <c r="C35" s="10">
        <v>7.9700000000000006</v>
      </c>
      <c r="D35" s="2">
        <f t="shared" si="0"/>
        <v>0</v>
      </c>
      <c r="E35" s="7">
        <f t="shared" si="1"/>
        <v>0.13674595053058508</v>
      </c>
      <c r="F35" s="7">
        <f t="shared" si="2"/>
        <v>0.86325404946941497</v>
      </c>
    </row>
    <row r="36" spans="2:6">
      <c r="B36" s="11">
        <v>3</v>
      </c>
      <c r="C36" s="10">
        <v>4.01</v>
      </c>
      <c r="D36" s="2">
        <f t="shared" si="0"/>
        <v>1</v>
      </c>
      <c r="E36" s="7">
        <f t="shared" si="1"/>
        <v>0.59102295157913831</v>
      </c>
      <c r="F36" s="7">
        <f t="shared" si="2"/>
        <v>0.59102295157913831</v>
      </c>
    </row>
    <row r="37" spans="2:6">
      <c r="B37" s="11">
        <v>6</v>
      </c>
      <c r="C37" s="10">
        <v>4.1099999999999994</v>
      </c>
      <c r="D37" s="2">
        <f t="shared" si="0"/>
        <v>1</v>
      </c>
      <c r="E37" s="7">
        <f t="shared" si="1"/>
        <v>0.21587156622379258</v>
      </c>
      <c r="F37" s="7">
        <f t="shared" si="2"/>
        <v>0.21587156622379258</v>
      </c>
    </row>
    <row r="38" spans="2:6">
      <c r="B38" s="11">
        <v>5</v>
      </c>
      <c r="C38" s="10">
        <v>5.75</v>
      </c>
      <c r="D38" s="2">
        <f t="shared" si="0"/>
        <v>0</v>
      </c>
      <c r="E38" s="7">
        <f t="shared" si="1"/>
        <v>0.32361800107019434</v>
      </c>
      <c r="F38" s="7">
        <f t="shared" si="2"/>
        <v>0.67638199892980566</v>
      </c>
    </row>
    <row r="39" spans="2:6">
      <c r="D39" s="2"/>
      <c r="F39" s="7"/>
    </row>
    <row r="41" spans="2:6">
      <c r="C41" s="8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41"/>
  <sheetViews>
    <sheetView workbookViewId="0">
      <selection activeCell="K2" sqref="K2"/>
    </sheetView>
  </sheetViews>
  <sheetFormatPr defaultRowHeight="18.75"/>
  <cols>
    <col min="2" max="2" width="8.796875" style="2"/>
    <col min="3" max="3" width="9.3984375" style="2" bestFit="1" customWidth="1"/>
    <col min="4" max="4" width="11.69921875" style="7" bestFit="1" customWidth="1"/>
    <col min="5" max="5" width="11.69921875" style="7" customWidth="1"/>
    <col min="6" max="6" width="11.69921875" customWidth="1"/>
    <col min="8" max="8" width="11.69921875" bestFit="1" customWidth="1"/>
  </cols>
  <sheetData>
    <row r="2" spans="2:12" ht="21.75">
      <c r="B2" s="2" t="s">
        <v>0</v>
      </c>
      <c r="C2" s="2">
        <v>-0.55009191591653761</v>
      </c>
      <c r="E2" s="7" t="s">
        <v>31</v>
      </c>
      <c r="F2" s="7"/>
      <c r="G2" t="s">
        <v>39</v>
      </c>
      <c r="H2">
        <f>1/(1+EXP(-C2))</f>
        <v>0.36584308405696286</v>
      </c>
      <c r="I2" s="1"/>
      <c r="J2" t="s">
        <v>44</v>
      </c>
      <c r="K2">
        <f>1-(E3/'InClass-Solver-Null'!E3)</f>
        <v>0.23095961447880009</v>
      </c>
    </row>
    <row r="3" spans="2:12">
      <c r="B3" s="2" t="s">
        <v>48</v>
      </c>
      <c r="C3" s="2">
        <v>-0.68712415038132446</v>
      </c>
      <c r="E3" s="7">
        <f>LN(PRODUCT(G9:G39))</f>
        <v>-15.527194555711921</v>
      </c>
      <c r="F3" s="7"/>
      <c r="G3" t="s">
        <v>45</v>
      </c>
      <c r="H3">
        <f>EXP(C3)</f>
        <v>0.50302060254796177</v>
      </c>
      <c r="J3" t="s">
        <v>51</v>
      </c>
      <c r="K3">
        <f>-2*('InClass-Solver-Null'!E3-E3)</f>
        <v>9.3263109091315464</v>
      </c>
      <c r="L3">
        <f>_xlfn.CHISQ.DIST.RT(K3,COUNT(C3:C5))</f>
        <v>9.4366384884508828E-3</v>
      </c>
    </row>
    <row r="4" spans="2:12">
      <c r="B4" s="2" t="s">
        <v>50</v>
      </c>
      <c r="C4" s="2">
        <v>0.51378851018198568</v>
      </c>
      <c r="G4" t="s">
        <v>47</v>
      </c>
      <c r="H4">
        <f>EXP(C4)</f>
        <v>1.6716121335036858</v>
      </c>
    </row>
    <row r="7" spans="2:12">
      <c r="D7" s="7">
        <v>4.5</v>
      </c>
    </row>
    <row r="8" spans="2:12" ht="20.25">
      <c r="B8" s="11" t="s">
        <v>34</v>
      </c>
      <c r="C8" s="2" t="s">
        <v>35</v>
      </c>
      <c r="D8" s="2" t="s">
        <v>33</v>
      </c>
      <c r="E8" s="2" t="s">
        <v>38</v>
      </c>
      <c r="F8" s="7" t="s">
        <v>29</v>
      </c>
      <c r="G8" s="7" t="s">
        <v>30</v>
      </c>
    </row>
    <row r="9" spans="2:12">
      <c r="B9" s="11">
        <v>4</v>
      </c>
      <c r="C9" s="2">
        <v>4</v>
      </c>
      <c r="D9" s="10">
        <v>6.78</v>
      </c>
      <c r="E9" s="2">
        <f>IF(D9&lt;$D$7,1,0)</f>
        <v>0</v>
      </c>
      <c r="F9" s="7">
        <f>1/(1+EXP(-($C$2+$C$3*B9+$C$4*C9)))</f>
        <v>0.22383873118776695</v>
      </c>
      <c r="G9" s="7">
        <f t="shared" ref="G9:G38" si="0">IF(E9=1,F9,1-F9)</f>
        <v>0.77616126881223302</v>
      </c>
    </row>
    <row r="10" spans="2:12">
      <c r="B10" s="11">
        <v>4</v>
      </c>
      <c r="C10" s="2">
        <v>6</v>
      </c>
      <c r="D10" s="10">
        <v>3.9499999999999997</v>
      </c>
      <c r="E10" s="2">
        <f t="shared" ref="E10:E38" si="1">IF(D10&lt;$D$7,1,0)</f>
        <v>1</v>
      </c>
      <c r="F10" s="7">
        <f t="shared" ref="F10:F38" si="2">1/(1+EXP(-($C$2+$C$3*B10+$C$4*C10)))</f>
        <v>0.4462442007869718</v>
      </c>
      <c r="G10" s="7">
        <f t="shared" si="0"/>
        <v>0.4462442007869718</v>
      </c>
    </row>
    <row r="11" spans="2:12">
      <c r="B11" s="11">
        <v>5</v>
      </c>
      <c r="C11" s="2">
        <v>6</v>
      </c>
      <c r="D11" s="10">
        <v>5</v>
      </c>
      <c r="E11" s="2">
        <f t="shared" si="1"/>
        <v>0</v>
      </c>
      <c r="F11" s="7">
        <f t="shared" si="2"/>
        <v>0.28843816186870724</v>
      </c>
      <c r="G11" s="7">
        <f t="shared" si="0"/>
        <v>0.7115618381312927</v>
      </c>
    </row>
    <row r="12" spans="2:12">
      <c r="B12" s="11">
        <v>4</v>
      </c>
      <c r="C12" s="2">
        <v>8</v>
      </c>
      <c r="D12" s="10">
        <v>2.64</v>
      </c>
      <c r="E12" s="2">
        <f t="shared" si="1"/>
        <v>1</v>
      </c>
      <c r="F12" s="7">
        <f t="shared" si="2"/>
        <v>0.6924758118718134</v>
      </c>
      <c r="G12" s="7">
        <f t="shared" si="0"/>
        <v>0.6924758118718134</v>
      </c>
    </row>
    <row r="13" spans="2:12">
      <c r="B13" s="11">
        <v>9</v>
      </c>
      <c r="C13" s="2">
        <v>6</v>
      </c>
      <c r="D13" s="10">
        <v>5.79</v>
      </c>
      <c r="E13" s="2">
        <f t="shared" si="1"/>
        <v>0</v>
      </c>
      <c r="F13" s="7">
        <f t="shared" si="2"/>
        <v>2.5296230447845767E-2</v>
      </c>
      <c r="G13" s="7">
        <f t="shared" si="0"/>
        <v>0.97470376955215421</v>
      </c>
    </row>
    <row r="14" spans="2:12">
      <c r="B14" s="11">
        <v>6</v>
      </c>
      <c r="C14" s="2">
        <v>8</v>
      </c>
      <c r="D14" s="10">
        <v>5.45</v>
      </c>
      <c r="E14" s="2">
        <f t="shared" si="1"/>
        <v>0</v>
      </c>
      <c r="F14" s="7">
        <f t="shared" si="2"/>
        <v>0.36296256096116614</v>
      </c>
      <c r="G14" s="7">
        <f t="shared" si="0"/>
        <v>0.63703743903883381</v>
      </c>
    </row>
    <row r="15" spans="2:12">
      <c r="B15" s="11">
        <v>3</v>
      </c>
      <c r="C15" s="2">
        <v>4</v>
      </c>
      <c r="D15" s="10">
        <v>5.8000000000000007</v>
      </c>
      <c r="E15" s="2">
        <f t="shared" si="1"/>
        <v>0</v>
      </c>
      <c r="F15" s="7">
        <f t="shared" si="2"/>
        <v>0.3644016080751471</v>
      </c>
      <c r="G15" s="7">
        <f t="shared" si="0"/>
        <v>0.6355983919248529</v>
      </c>
    </row>
    <row r="16" spans="2:12">
      <c r="B16" s="11">
        <v>2</v>
      </c>
      <c r="C16" s="2">
        <v>5</v>
      </c>
      <c r="D16" s="10">
        <v>3.4899999999999998</v>
      </c>
      <c r="E16" s="2">
        <f t="shared" si="1"/>
        <v>1</v>
      </c>
      <c r="F16" s="7">
        <f t="shared" si="2"/>
        <v>0.65579308226611699</v>
      </c>
      <c r="G16" s="7">
        <f t="shared" si="0"/>
        <v>0.65579308226611699</v>
      </c>
    </row>
    <row r="17" spans="2:7">
      <c r="B17" s="11">
        <v>9</v>
      </c>
      <c r="C17" s="2">
        <v>6</v>
      </c>
      <c r="D17" s="10">
        <v>8.3099999999999987</v>
      </c>
      <c r="E17" s="2">
        <f t="shared" si="1"/>
        <v>0</v>
      </c>
      <c r="F17" s="7">
        <f t="shared" si="2"/>
        <v>2.5296230447845767E-2</v>
      </c>
      <c r="G17" s="7">
        <f t="shared" si="0"/>
        <v>0.97470376955215421</v>
      </c>
    </row>
    <row r="18" spans="2:7">
      <c r="B18" s="11">
        <v>3</v>
      </c>
      <c r="C18" s="2">
        <v>8</v>
      </c>
      <c r="D18" s="10">
        <v>3.51</v>
      </c>
      <c r="E18" s="2">
        <f t="shared" si="1"/>
        <v>1</v>
      </c>
      <c r="F18" s="7">
        <f t="shared" si="2"/>
        <v>0.81740195696712292</v>
      </c>
      <c r="G18" s="7">
        <f t="shared" si="0"/>
        <v>0.81740195696712292</v>
      </c>
    </row>
    <row r="19" spans="2:7">
      <c r="B19" s="11">
        <v>7</v>
      </c>
      <c r="C19" s="2">
        <v>6</v>
      </c>
      <c r="D19" s="10">
        <v>7.1199999999999992</v>
      </c>
      <c r="E19" s="2">
        <f t="shared" si="1"/>
        <v>0</v>
      </c>
      <c r="F19" s="7">
        <f t="shared" si="2"/>
        <v>9.3026409400310026E-2</v>
      </c>
      <c r="G19" s="7">
        <f t="shared" si="0"/>
        <v>0.90697359059968996</v>
      </c>
    </row>
    <row r="20" spans="2:7">
      <c r="B20" s="11">
        <v>3</v>
      </c>
      <c r="C20" s="2">
        <v>6</v>
      </c>
      <c r="D20" s="10">
        <v>3.42</v>
      </c>
      <c r="E20" s="2">
        <f t="shared" si="1"/>
        <v>1</v>
      </c>
      <c r="F20" s="7">
        <f t="shared" si="2"/>
        <v>0.61568352202787646</v>
      </c>
      <c r="G20" s="7">
        <f t="shared" si="0"/>
        <v>0.61568352202787646</v>
      </c>
    </row>
    <row r="21" spans="2:7">
      <c r="B21" s="11">
        <v>7</v>
      </c>
      <c r="C21" s="2">
        <v>6</v>
      </c>
      <c r="D21" s="10">
        <v>3.76</v>
      </c>
      <c r="E21" s="2">
        <f t="shared" si="1"/>
        <v>1</v>
      </c>
      <c r="F21" s="7">
        <f t="shared" si="2"/>
        <v>9.3026409400310026E-2</v>
      </c>
      <c r="G21" s="7">
        <f t="shared" si="0"/>
        <v>9.3026409400310026E-2</v>
      </c>
    </row>
    <row r="22" spans="2:7">
      <c r="B22" s="11">
        <v>1</v>
      </c>
      <c r="C22" s="2">
        <v>6</v>
      </c>
      <c r="D22" s="10">
        <v>3.68</v>
      </c>
      <c r="E22" s="2">
        <f t="shared" si="1"/>
        <v>1</v>
      </c>
      <c r="F22" s="7">
        <f t="shared" si="2"/>
        <v>0.86359965151039242</v>
      </c>
      <c r="G22" s="7">
        <f t="shared" si="0"/>
        <v>0.86359965151039242</v>
      </c>
    </row>
    <row r="23" spans="2:7">
      <c r="B23" s="11">
        <v>4</v>
      </c>
      <c r="C23" s="2">
        <v>6</v>
      </c>
      <c r="D23" s="10">
        <v>5.1800000000000006</v>
      </c>
      <c r="E23" s="2">
        <f t="shared" si="1"/>
        <v>0</v>
      </c>
      <c r="F23" s="7">
        <f t="shared" si="2"/>
        <v>0.4462442007869718</v>
      </c>
      <c r="G23" s="7">
        <f t="shared" si="0"/>
        <v>0.5537557992130282</v>
      </c>
    </row>
    <row r="24" spans="2:7">
      <c r="B24" s="11">
        <v>2</v>
      </c>
      <c r="C24" s="2">
        <v>6</v>
      </c>
      <c r="D24" s="10">
        <v>3.6</v>
      </c>
      <c r="E24" s="2">
        <f t="shared" si="1"/>
        <v>1</v>
      </c>
      <c r="F24" s="7">
        <f t="shared" si="2"/>
        <v>0.76104019993882799</v>
      </c>
      <c r="G24" s="7">
        <f t="shared" si="0"/>
        <v>0.76104019993882799</v>
      </c>
    </row>
    <row r="25" spans="2:7">
      <c r="B25" s="11">
        <v>5</v>
      </c>
      <c r="C25" s="2">
        <v>8</v>
      </c>
      <c r="D25" s="10">
        <v>5.48</v>
      </c>
      <c r="E25" s="2">
        <f t="shared" si="1"/>
        <v>0</v>
      </c>
      <c r="F25" s="7">
        <f t="shared" si="2"/>
        <v>0.53110861958833622</v>
      </c>
      <c r="G25" s="7">
        <f t="shared" si="0"/>
        <v>0.46889138041166378</v>
      </c>
    </row>
    <row r="26" spans="2:7">
      <c r="B26" s="11">
        <v>3</v>
      </c>
      <c r="C26" s="2">
        <v>4</v>
      </c>
      <c r="D26" s="10">
        <v>4.3499999999999996</v>
      </c>
      <c r="E26" s="2">
        <f t="shared" si="1"/>
        <v>1</v>
      </c>
      <c r="F26" s="7">
        <f t="shared" si="2"/>
        <v>0.3644016080751471</v>
      </c>
      <c r="G26" s="7">
        <f t="shared" si="0"/>
        <v>0.3644016080751471</v>
      </c>
    </row>
    <row r="27" spans="2:7">
      <c r="B27" s="11">
        <v>7</v>
      </c>
      <c r="C27" s="2">
        <v>8</v>
      </c>
      <c r="D27" s="10">
        <v>7.72</v>
      </c>
      <c r="E27" s="2">
        <f t="shared" si="1"/>
        <v>0</v>
      </c>
      <c r="F27" s="7">
        <f t="shared" si="2"/>
        <v>0.22276023150832461</v>
      </c>
      <c r="G27" s="7">
        <f t="shared" si="0"/>
        <v>0.77723976849167542</v>
      </c>
    </row>
    <row r="28" spans="2:7">
      <c r="B28" s="11">
        <v>4</v>
      </c>
      <c r="C28" s="2">
        <v>6</v>
      </c>
      <c r="D28" s="10">
        <v>3.62</v>
      </c>
      <c r="E28" s="2">
        <f t="shared" si="1"/>
        <v>1</v>
      </c>
      <c r="F28" s="7">
        <f t="shared" si="2"/>
        <v>0.4462442007869718</v>
      </c>
      <c r="G28" s="7">
        <f t="shared" si="0"/>
        <v>0.4462442007869718</v>
      </c>
    </row>
    <row r="29" spans="2:7">
      <c r="B29" s="11">
        <v>2</v>
      </c>
      <c r="C29" s="2">
        <v>6</v>
      </c>
      <c r="D29" s="10">
        <v>5.78</v>
      </c>
      <c r="E29" s="2">
        <f t="shared" si="1"/>
        <v>0</v>
      </c>
      <c r="F29" s="7">
        <f t="shared" si="2"/>
        <v>0.76104019993882799</v>
      </c>
      <c r="G29" s="7">
        <f t="shared" si="0"/>
        <v>0.23895980006117201</v>
      </c>
    </row>
    <row r="30" spans="2:7">
      <c r="B30" s="11">
        <v>7</v>
      </c>
      <c r="C30" s="2">
        <v>6</v>
      </c>
      <c r="D30" s="10">
        <v>6.54</v>
      </c>
      <c r="E30" s="2">
        <f t="shared" si="1"/>
        <v>0</v>
      </c>
      <c r="F30" s="7">
        <f t="shared" si="2"/>
        <v>9.3026409400310026E-2</v>
      </c>
      <c r="G30" s="7">
        <f t="shared" si="0"/>
        <v>0.90697359059968996</v>
      </c>
    </row>
    <row r="31" spans="2:7">
      <c r="B31" s="11">
        <v>5</v>
      </c>
      <c r="C31" s="2">
        <v>5</v>
      </c>
      <c r="D31" s="10">
        <v>4.92</v>
      </c>
      <c r="E31" s="2">
        <f t="shared" si="1"/>
        <v>0</v>
      </c>
      <c r="F31" s="7">
        <f t="shared" si="2"/>
        <v>0.1951684267733724</v>
      </c>
      <c r="G31" s="7">
        <f t="shared" si="0"/>
        <v>0.80483157322662757</v>
      </c>
    </row>
    <row r="32" spans="2:7">
      <c r="B32" s="11">
        <v>7</v>
      </c>
      <c r="C32" s="2">
        <v>6</v>
      </c>
      <c r="D32" s="10">
        <v>6.65</v>
      </c>
      <c r="E32" s="2">
        <f t="shared" si="1"/>
        <v>0</v>
      </c>
      <c r="F32" s="7">
        <f t="shared" si="2"/>
        <v>9.3026409400310026E-2</v>
      </c>
      <c r="G32" s="7">
        <f t="shared" si="0"/>
        <v>0.90697359059968996</v>
      </c>
    </row>
    <row r="33" spans="2:7">
      <c r="B33" s="11">
        <v>2</v>
      </c>
      <c r="C33" s="2">
        <v>4</v>
      </c>
      <c r="D33" s="10">
        <v>6.19</v>
      </c>
      <c r="E33" s="2">
        <f t="shared" si="1"/>
        <v>0</v>
      </c>
      <c r="F33" s="7">
        <f t="shared" si="2"/>
        <v>0.53265689985118414</v>
      </c>
      <c r="G33" s="7">
        <f t="shared" si="0"/>
        <v>0.46734310014881586</v>
      </c>
    </row>
    <row r="34" spans="2:7">
      <c r="B34" s="11">
        <v>4</v>
      </c>
      <c r="C34" s="2">
        <v>5</v>
      </c>
      <c r="D34" s="10">
        <v>5.16</v>
      </c>
      <c r="E34" s="2">
        <f t="shared" si="1"/>
        <v>0</v>
      </c>
      <c r="F34" s="7">
        <f t="shared" si="2"/>
        <v>0.32527242243282622</v>
      </c>
      <c r="G34" s="7">
        <f t="shared" si="0"/>
        <v>0.67472757756717372</v>
      </c>
    </row>
    <row r="35" spans="2:7">
      <c r="B35" s="11">
        <v>7</v>
      </c>
      <c r="C35" s="2">
        <v>5</v>
      </c>
      <c r="D35" s="10">
        <v>7.9700000000000006</v>
      </c>
      <c r="E35" s="2">
        <f t="shared" si="1"/>
        <v>0</v>
      </c>
      <c r="F35" s="7">
        <f t="shared" si="2"/>
        <v>5.7811457797900652E-2</v>
      </c>
      <c r="G35" s="7">
        <f t="shared" si="0"/>
        <v>0.94218854220209936</v>
      </c>
    </row>
    <row r="36" spans="2:7">
      <c r="B36" s="11">
        <v>3</v>
      </c>
      <c r="C36" s="2">
        <v>8</v>
      </c>
      <c r="D36" s="10">
        <v>4.01</v>
      </c>
      <c r="E36" s="2">
        <f t="shared" si="1"/>
        <v>1</v>
      </c>
      <c r="F36" s="7">
        <f t="shared" si="2"/>
        <v>0.81740195696712292</v>
      </c>
      <c r="G36" s="7">
        <f t="shared" si="0"/>
        <v>0.81740195696712292</v>
      </c>
    </row>
    <row r="37" spans="2:7">
      <c r="B37" s="11">
        <v>6</v>
      </c>
      <c r="C37" s="2">
        <v>7</v>
      </c>
      <c r="D37" s="10">
        <v>4.1099999999999994</v>
      </c>
      <c r="E37" s="2">
        <f t="shared" si="1"/>
        <v>1</v>
      </c>
      <c r="F37" s="7">
        <f t="shared" si="2"/>
        <v>0.25420357593019749</v>
      </c>
      <c r="G37" s="7">
        <f t="shared" si="0"/>
        <v>0.25420357593019749</v>
      </c>
    </row>
    <row r="38" spans="2:7">
      <c r="B38" s="11">
        <v>5</v>
      </c>
      <c r="C38" s="2">
        <v>8</v>
      </c>
      <c r="D38" s="10">
        <v>5.75</v>
      </c>
      <c r="E38" s="2">
        <f t="shared" si="1"/>
        <v>0</v>
      </c>
      <c r="F38" s="7">
        <f t="shared" si="2"/>
        <v>0.53110861958833622</v>
      </c>
      <c r="G38" s="7">
        <f t="shared" si="0"/>
        <v>0.46889138041166378</v>
      </c>
    </row>
    <row r="39" spans="2:7">
      <c r="D39" s="2"/>
      <c r="F39" s="7"/>
    </row>
    <row r="41" spans="2:7">
      <c r="C41" s="8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L41"/>
  <sheetViews>
    <sheetView tabSelected="1" workbookViewId="0">
      <selection activeCell="P16" sqref="P16"/>
    </sheetView>
  </sheetViews>
  <sheetFormatPr defaultRowHeight="18.75"/>
  <cols>
    <col min="2" max="2" width="8.796875" style="2"/>
    <col min="3" max="3" width="9.3984375" style="2" bestFit="1" customWidth="1"/>
    <col min="4" max="4" width="11.69921875" style="7" bestFit="1" customWidth="1"/>
    <col min="5" max="5" width="11.69921875" style="7" customWidth="1"/>
    <col min="6" max="6" width="11.69921875" customWidth="1"/>
    <col min="8" max="8" width="11.69921875" bestFit="1" customWidth="1"/>
  </cols>
  <sheetData>
    <row r="2" spans="2:12" ht="21.75">
      <c r="B2" s="2" t="s">
        <v>0</v>
      </c>
      <c r="C2" s="2">
        <v>3.9596658110110443</v>
      </c>
      <c r="E2" s="7" t="s">
        <v>31</v>
      </c>
      <c r="F2" s="7"/>
      <c r="G2" t="s">
        <v>39</v>
      </c>
      <c r="H2">
        <f>1/(1+EXP(-C2))</f>
        <v>0.98128735449312099</v>
      </c>
      <c r="I2" s="1"/>
      <c r="J2" t="s">
        <v>44</v>
      </c>
      <c r="K2">
        <f>1-(E3/'InClass-Solver-Null'!E3)</f>
        <v>0.27444635556407815</v>
      </c>
    </row>
    <row r="3" spans="2:12">
      <c r="B3" s="2" t="s">
        <v>48</v>
      </c>
      <c r="C3" s="2">
        <v>-0.89311359435108872</v>
      </c>
      <c r="E3" s="7">
        <f>LN(PRODUCT(H9:H39))</f>
        <v>-14.649182032393833</v>
      </c>
      <c r="F3" s="7"/>
      <c r="G3" t="s">
        <v>45</v>
      </c>
      <c r="H3">
        <f>EXP(C3)</f>
        <v>0.40937912580091751</v>
      </c>
      <c r="J3" t="s">
        <v>51</v>
      </c>
      <c r="K3">
        <f>-2*('InClass-Solver-Null'!E3-'InClass3-Solver'!E3)</f>
        <v>11.082335955767721</v>
      </c>
      <c r="L3">
        <f>_xlfn.CHISQ.DIST.RT(K3,COUNT(C3:C5))</f>
        <v>1.1288884265463778E-2</v>
      </c>
    </row>
    <row r="4" spans="2:12">
      <c r="B4" s="2" t="s">
        <v>49</v>
      </c>
      <c r="C4" s="2">
        <v>-0.28589844755946336</v>
      </c>
      <c r="G4" t="s">
        <v>46</v>
      </c>
      <c r="H4">
        <f>EXP(C4)</f>
        <v>0.75133891237299799</v>
      </c>
    </row>
    <row r="5" spans="2:12">
      <c r="B5" s="2" t="s">
        <v>50</v>
      </c>
      <c r="C5" s="2">
        <v>0.64838546940031083</v>
      </c>
      <c r="G5" t="s">
        <v>47</v>
      </c>
      <c r="H5">
        <f>EXP(C5)</f>
        <v>1.9124506250162279</v>
      </c>
      <c r="J5" t="s">
        <v>54</v>
      </c>
      <c r="K5">
        <f>-2*('InClass3-Solver-NoC'!E3-E3)</f>
        <v>10.406675849091332</v>
      </c>
      <c r="L5">
        <f>_xlfn.CHISQ.DIST.RT(K5,1)</f>
        <v>1.2556056204895529E-3</v>
      </c>
    </row>
    <row r="6" spans="2:12">
      <c r="J6" t="s">
        <v>52</v>
      </c>
      <c r="K6">
        <f>-2*('InClass2-Solver'!E3-E3)</f>
        <v>1.7560250466361751</v>
      </c>
      <c r="L6">
        <f>_xlfn.CHISQ.DIST.RT(K6,1)</f>
        <v>0.18512108939212679</v>
      </c>
    </row>
    <row r="7" spans="2:12">
      <c r="D7" s="7">
        <v>4.5</v>
      </c>
      <c r="J7" t="s">
        <v>53</v>
      </c>
      <c r="K7">
        <f>-2*('InClass3-Solver-NoW'!E3-E3)</f>
        <v>3.3815638304237616</v>
      </c>
      <c r="L7">
        <f>_xlfn.CHISQ.DIST.RT(K7,1)</f>
        <v>6.5929471004069679E-2</v>
      </c>
    </row>
    <row r="8" spans="2:12" ht="20.25">
      <c r="B8" s="16" t="s">
        <v>34</v>
      </c>
      <c r="C8" s="17" t="s">
        <v>32</v>
      </c>
      <c r="D8" s="18" t="s">
        <v>35</v>
      </c>
      <c r="E8" s="2" t="s">
        <v>33</v>
      </c>
      <c r="F8" s="2" t="s">
        <v>38</v>
      </c>
      <c r="G8" s="7" t="s">
        <v>29</v>
      </c>
      <c r="H8" s="7" t="s">
        <v>30</v>
      </c>
    </row>
    <row r="9" spans="2:12">
      <c r="B9" s="11">
        <v>4</v>
      </c>
      <c r="C9" s="9">
        <v>16</v>
      </c>
      <c r="D9" s="2">
        <v>4</v>
      </c>
      <c r="E9" s="10">
        <v>6.78</v>
      </c>
      <c r="F9" s="2">
        <f>IF(E9&lt;$D$7,1,0)</f>
        <v>0</v>
      </c>
      <c r="G9" s="7">
        <f>1/(1+EXP(-($C$2+$C$3*B9+$C$4*C9+$C$5*D9)))</f>
        <v>0.16887493806063084</v>
      </c>
      <c r="H9" s="7">
        <f t="shared" ref="H9:H38" si="0">IF(F9=1,G9,1-G9)</f>
        <v>0.83112506193936919</v>
      </c>
    </row>
    <row r="10" spans="2:12">
      <c r="B10" s="11">
        <v>4</v>
      </c>
      <c r="C10" s="9">
        <v>14.82</v>
      </c>
      <c r="D10" s="2">
        <v>6</v>
      </c>
      <c r="E10" s="10">
        <v>3.9499999999999997</v>
      </c>
      <c r="F10" s="2">
        <f t="shared" ref="F10:F38" si="1">IF(E10&lt;$D$7,1,0)</f>
        <v>1</v>
      </c>
      <c r="G10" s="7">
        <f t="shared" ref="G10:G38" si="2">1/(1+EXP(-($C$2+$C$3*B10+$C$4*C10+$C$5*D10)))</f>
        <v>0.51012592961139325</v>
      </c>
      <c r="H10" s="7">
        <f t="shared" si="0"/>
        <v>0.51012592961139325</v>
      </c>
    </row>
    <row r="11" spans="2:12">
      <c r="B11" s="11">
        <v>5</v>
      </c>
      <c r="C11" s="9">
        <v>12.64</v>
      </c>
      <c r="D11" s="2">
        <v>6</v>
      </c>
      <c r="E11" s="10">
        <v>5</v>
      </c>
      <c r="F11" s="2">
        <f t="shared" si="1"/>
        <v>0</v>
      </c>
      <c r="G11" s="7">
        <f t="shared" si="2"/>
        <v>0.44291357679075272</v>
      </c>
      <c r="H11" s="7">
        <f t="shared" si="0"/>
        <v>0.55708642320924728</v>
      </c>
    </row>
    <row r="12" spans="2:12">
      <c r="B12" s="11">
        <v>4</v>
      </c>
      <c r="C12" s="9">
        <v>13.91</v>
      </c>
      <c r="D12" s="2">
        <v>8</v>
      </c>
      <c r="E12" s="10">
        <v>2.64</v>
      </c>
      <c r="F12" s="2">
        <f t="shared" si="1"/>
        <v>1</v>
      </c>
      <c r="G12" s="7">
        <f t="shared" si="2"/>
        <v>0.83166137531387452</v>
      </c>
      <c r="H12" s="7">
        <f t="shared" si="0"/>
        <v>0.83166137531387452</v>
      </c>
    </row>
    <row r="13" spans="2:12">
      <c r="B13" s="11">
        <v>9</v>
      </c>
      <c r="C13" s="9">
        <v>12.91</v>
      </c>
      <c r="D13" s="2">
        <v>6</v>
      </c>
      <c r="E13" s="10">
        <v>5.79</v>
      </c>
      <c r="F13" s="2">
        <f t="shared" si="1"/>
        <v>0</v>
      </c>
      <c r="G13" s="7">
        <f t="shared" si="2"/>
        <v>2.0252975486240041E-2</v>
      </c>
      <c r="H13" s="7">
        <f t="shared" si="0"/>
        <v>0.97974702451375995</v>
      </c>
    </row>
    <row r="14" spans="2:12">
      <c r="B14" s="11">
        <v>6</v>
      </c>
      <c r="C14" s="9">
        <v>15.82</v>
      </c>
      <c r="D14" s="2">
        <v>8</v>
      </c>
      <c r="E14" s="10">
        <v>5.45</v>
      </c>
      <c r="F14" s="2">
        <f t="shared" si="1"/>
        <v>0</v>
      </c>
      <c r="G14" s="7">
        <f t="shared" si="2"/>
        <v>0.32413233083770215</v>
      </c>
      <c r="H14" s="7">
        <f t="shared" si="0"/>
        <v>0.67586766916229779</v>
      </c>
    </row>
    <row r="15" spans="2:12">
      <c r="B15" s="11">
        <v>3</v>
      </c>
      <c r="C15" s="9">
        <v>14.91</v>
      </c>
      <c r="D15" s="2">
        <v>4</v>
      </c>
      <c r="E15" s="10">
        <v>5.8000000000000007</v>
      </c>
      <c r="F15" s="2">
        <f t="shared" si="1"/>
        <v>0</v>
      </c>
      <c r="G15" s="7">
        <f t="shared" si="2"/>
        <v>0.40398720036148805</v>
      </c>
      <c r="H15" s="7">
        <f t="shared" si="0"/>
        <v>0.59601279963851195</v>
      </c>
    </row>
    <row r="16" spans="2:12">
      <c r="B16" s="11">
        <v>2</v>
      </c>
      <c r="C16" s="9">
        <v>12.82</v>
      </c>
      <c r="D16" s="2">
        <v>5</v>
      </c>
      <c r="E16" s="10">
        <v>3.4899999999999998</v>
      </c>
      <c r="F16" s="2">
        <f t="shared" si="1"/>
        <v>1</v>
      </c>
      <c r="G16" s="7">
        <f t="shared" si="2"/>
        <v>0.85197145192775692</v>
      </c>
      <c r="H16" s="7">
        <f t="shared" si="0"/>
        <v>0.85197145192775692</v>
      </c>
    </row>
    <row r="17" spans="2:8">
      <c r="B17" s="11">
        <v>9</v>
      </c>
      <c r="C17" s="9">
        <v>13.82</v>
      </c>
      <c r="D17" s="2">
        <v>6</v>
      </c>
      <c r="E17" s="10">
        <v>8.3099999999999987</v>
      </c>
      <c r="F17" s="2">
        <f t="shared" si="1"/>
        <v>0</v>
      </c>
      <c r="G17" s="7">
        <f t="shared" si="2"/>
        <v>1.5686248431196936E-2</v>
      </c>
      <c r="H17" s="7">
        <f t="shared" si="0"/>
        <v>0.98431375156880307</v>
      </c>
    </row>
    <row r="18" spans="2:8">
      <c r="B18" s="11">
        <v>3</v>
      </c>
      <c r="C18" s="9">
        <v>18.55</v>
      </c>
      <c r="D18" s="2">
        <v>8</v>
      </c>
      <c r="E18" s="10">
        <v>3.51</v>
      </c>
      <c r="F18" s="2">
        <f t="shared" si="1"/>
        <v>1</v>
      </c>
      <c r="G18" s="7">
        <f t="shared" si="2"/>
        <v>0.76205743048301922</v>
      </c>
      <c r="H18" s="7">
        <f t="shared" si="0"/>
        <v>0.76205743048301922</v>
      </c>
    </row>
    <row r="19" spans="2:8">
      <c r="B19" s="11">
        <v>7</v>
      </c>
      <c r="C19" s="9">
        <v>10</v>
      </c>
      <c r="D19" s="2">
        <v>6</v>
      </c>
      <c r="E19" s="10">
        <v>7.1199999999999992</v>
      </c>
      <c r="F19" s="2">
        <f t="shared" si="1"/>
        <v>0</v>
      </c>
      <c r="G19" s="7">
        <f t="shared" si="2"/>
        <v>0.22083603386263381</v>
      </c>
      <c r="H19" s="7">
        <f t="shared" si="0"/>
        <v>0.77916396613736616</v>
      </c>
    </row>
    <row r="20" spans="2:8">
      <c r="B20" s="11">
        <v>3</v>
      </c>
      <c r="C20" s="9">
        <v>16.27</v>
      </c>
      <c r="D20" s="2">
        <v>6</v>
      </c>
      <c r="E20" s="10">
        <v>3.42</v>
      </c>
      <c r="F20" s="2">
        <f t="shared" si="1"/>
        <v>1</v>
      </c>
      <c r="G20" s="7">
        <f t="shared" si="2"/>
        <v>0.62693029949611212</v>
      </c>
      <c r="H20" s="7">
        <f t="shared" si="0"/>
        <v>0.62693029949611212</v>
      </c>
    </row>
    <row r="21" spans="2:8">
      <c r="B21" s="11">
        <v>7</v>
      </c>
      <c r="C21" s="9">
        <v>10.64</v>
      </c>
      <c r="D21" s="2">
        <v>6</v>
      </c>
      <c r="E21" s="10">
        <v>3.76</v>
      </c>
      <c r="F21" s="2">
        <f t="shared" si="1"/>
        <v>1</v>
      </c>
      <c r="G21" s="7">
        <f t="shared" si="2"/>
        <v>0.19096129195956951</v>
      </c>
      <c r="H21" s="7">
        <f t="shared" si="0"/>
        <v>0.19096129195956951</v>
      </c>
    </row>
    <row r="22" spans="2:8">
      <c r="B22" s="11">
        <v>1</v>
      </c>
      <c r="C22" s="9">
        <v>11.55</v>
      </c>
      <c r="D22" s="2">
        <v>6</v>
      </c>
      <c r="E22" s="10">
        <v>3.68</v>
      </c>
      <c r="F22" s="2">
        <f t="shared" si="1"/>
        <v>1</v>
      </c>
      <c r="G22" s="7">
        <f t="shared" si="2"/>
        <v>0.97478401891276067</v>
      </c>
      <c r="H22" s="7">
        <f t="shared" si="0"/>
        <v>0.97478401891276067</v>
      </c>
    </row>
    <row r="23" spans="2:8">
      <c r="B23" s="11">
        <v>4</v>
      </c>
      <c r="C23" s="9">
        <v>14.91</v>
      </c>
      <c r="D23" s="2">
        <v>6</v>
      </c>
      <c r="E23" s="10">
        <v>5.1800000000000006</v>
      </c>
      <c r="F23" s="2">
        <f t="shared" si="1"/>
        <v>0</v>
      </c>
      <c r="G23" s="7">
        <f t="shared" si="2"/>
        <v>0.50369453198368908</v>
      </c>
      <c r="H23" s="7">
        <f t="shared" si="0"/>
        <v>0.49630546801631092</v>
      </c>
    </row>
    <row r="24" spans="2:8">
      <c r="B24" s="11">
        <v>2</v>
      </c>
      <c r="C24" s="9">
        <v>18.36</v>
      </c>
      <c r="D24" s="2">
        <v>6</v>
      </c>
      <c r="E24" s="10">
        <v>3.6</v>
      </c>
      <c r="F24" s="2">
        <f t="shared" si="1"/>
        <v>1</v>
      </c>
      <c r="G24" s="7">
        <f t="shared" si="2"/>
        <v>0.69310076878899418</v>
      </c>
      <c r="H24" s="7">
        <f t="shared" si="0"/>
        <v>0.69310076878899418</v>
      </c>
    </row>
    <row r="25" spans="2:8">
      <c r="B25" s="11">
        <v>5</v>
      </c>
      <c r="C25" s="9">
        <v>15.18</v>
      </c>
      <c r="D25" s="2">
        <v>8</v>
      </c>
      <c r="E25" s="10">
        <v>5.48</v>
      </c>
      <c r="F25" s="2">
        <f t="shared" si="1"/>
        <v>0</v>
      </c>
      <c r="G25" s="7">
        <f t="shared" si="2"/>
        <v>0.58449246984386027</v>
      </c>
      <c r="H25" s="7">
        <f t="shared" si="0"/>
        <v>0.41550753015613973</v>
      </c>
    </row>
    <row r="26" spans="2:8">
      <c r="B26" s="11">
        <v>3</v>
      </c>
      <c r="C26" s="9">
        <v>16</v>
      </c>
      <c r="D26" s="2">
        <v>4</v>
      </c>
      <c r="E26" s="10">
        <v>4.3499999999999996</v>
      </c>
      <c r="F26" s="2">
        <f t="shared" si="1"/>
        <v>1</v>
      </c>
      <c r="G26" s="7">
        <f t="shared" si="2"/>
        <v>0.33169955070275037</v>
      </c>
      <c r="H26" s="7">
        <f t="shared" si="0"/>
        <v>0.33169955070275037</v>
      </c>
    </row>
    <row r="27" spans="2:8">
      <c r="B27" s="11">
        <v>7</v>
      </c>
      <c r="C27" s="9">
        <v>18.09</v>
      </c>
      <c r="D27" s="2">
        <v>8</v>
      </c>
      <c r="E27" s="10">
        <v>7.72</v>
      </c>
      <c r="F27" s="2">
        <f t="shared" si="1"/>
        <v>0</v>
      </c>
      <c r="G27" s="7">
        <f t="shared" si="2"/>
        <v>9.3050154278343816E-2</v>
      </c>
      <c r="H27" s="7">
        <f t="shared" si="0"/>
        <v>0.90694984572165616</v>
      </c>
    </row>
    <row r="28" spans="2:8">
      <c r="B28" s="11">
        <v>4</v>
      </c>
      <c r="C28" s="9">
        <v>17.09</v>
      </c>
      <c r="D28" s="2">
        <v>6</v>
      </c>
      <c r="E28" s="10">
        <v>3.62</v>
      </c>
      <c r="F28" s="2">
        <f t="shared" si="1"/>
        <v>1</v>
      </c>
      <c r="G28" s="7">
        <f t="shared" si="2"/>
        <v>0.35240595845914724</v>
      </c>
      <c r="H28" s="7">
        <f t="shared" si="0"/>
        <v>0.35240595845914724</v>
      </c>
    </row>
    <row r="29" spans="2:8">
      <c r="B29" s="11">
        <v>2</v>
      </c>
      <c r="C29" s="9">
        <v>14.82</v>
      </c>
      <c r="D29" s="2">
        <v>6</v>
      </c>
      <c r="E29" s="10">
        <v>5.78</v>
      </c>
      <c r="F29" s="2">
        <f t="shared" si="1"/>
        <v>0</v>
      </c>
      <c r="G29" s="7">
        <f t="shared" si="2"/>
        <v>0.86137248546969025</v>
      </c>
      <c r="H29" s="7">
        <f t="shared" si="0"/>
        <v>0.13862751453030975</v>
      </c>
    </row>
    <row r="30" spans="2:8">
      <c r="B30" s="11">
        <v>7</v>
      </c>
      <c r="C30" s="9">
        <v>13.82</v>
      </c>
      <c r="D30" s="2">
        <v>6</v>
      </c>
      <c r="E30" s="10">
        <v>6.54</v>
      </c>
      <c r="F30" s="2">
        <f t="shared" si="1"/>
        <v>0</v>
      </c>
      <c r="G30" s="7">
        <f t="shared" si="2"/>
        <v>8.6832917953757763E-2</v>
      </c>
      <c r="H30" s="7">
        <f t="shared" si="0"/>
        <v>0.9131670820462422</v>
      </c>
    </row>
    <row r="31" spans="2:8">
      <c r="B31" s="11">
        <v>5</v>
      </c>
      <c r="C31" s="9">
        <v>17.55</v>
      </c>
      <c r="D31" s="2">
        <v>5</v>
      </c>
      <c r="E31" s="10">
        <v>4.92</v>
      </c>
      <c r="F31" s="2">
        <f t="shared" si="1"/>
        <v>0</v>
      </c>
      <c r="G31" s="7">
        <f t="shared" si="2"/>
        <v>9.2667381438637383E-2</v>
      </c>
      <c r="H31" s="7">
        <f t="shared" si="0"/>
        <v>0.9073326185613626</v>
      </c>
    </row>
    <row r="32" spans="2:8">
      <c r="B32" s="11">
        <v>7</v>
      </c>
      <c r="C32" s="9">
        <v>15.18</v>
      </c>
      <c r="D32" s="2">
        <v>6</v>
      </c>
      <c r="E32" s="10">
        <v>6.65</v>
      </c>
      <c r="F32" s="2">
        <f t="shared" si="1"/>
        <v>0</v>
      </c>
      <c r="G32" s="7">
        <f t="shared" si="2"/>
        <v>6.0553991119849479E-2</v>
      </c>
      <c r="H32" s="7">
        <f t="shared" si="0"/>
        <v>0.93944600888015051</v>
      </c>
    </row>
    <row r="33" spans="2:8">
      <c r="B33" s="11">
        <v>2</v>
      </c>
      <c r="C33" s="9">
        <v>18.91</v>
      </c>
      <c r="D33" s="2">
        <v>4</v>
      </c>
      <c r="E33" s="10">
        <v>6.19</v>
      </c>
      <c r="F33" s="2">
        <f t="shared" si="1"/>
        <v>0</v>
      </c>
      <c r="G33" s="7">
        <f t="shared" si="2"/>
        <v>0.34539142025847142</v>
      </c>
      <c r="H33" s="7">
        <f t="shared" si="0"/>
        <v>0.65460857974152864</v>
      </c>
    </row>
    <row r="34" spans="2:8">
      <c r="B34" s="11">
        <v>4</v>
      </c>
      <c r="C34" s="9">
        <v>17.64</v>
      </c>
      <c r="D34" s="2">
        <v>5</v>
      </c>
      <c r="E34" s="10">
        <v>5.16</v>
      </c>
      <c r="F34" s="2">
        <f t="shared" si="1"/>
        <v>0</v>
      </c>
      <c r="G34" s="7">
        <f t="shared" si="2"/>
        <v>0.19558663676883078</v>
      </c>
      <c r="H34" s="7">
        <f t="shared" si="0"/>
        <v>0.80441336323116919</v>
      </c>
    </row>
    <row r="35" spans="2:8">
      <c r="B35" s="11">
        <v>7</v>
      </c>
      <c r="C35" s="9">
        <v>14.73</v>
      </c>
      <c r="D35" s="2">
        <v>5</v>
      </c>
      <c r="E35" s="10">
        <v>7.9700000000000006</v>
      </c>
      <c r="F35" s="2">
        <f t="shared" si="1"/>
        <v>0</v>
      </c>
      <c r="G35" s="7">
        <f t="shared" si="2"/>
        <v>3.6916335588530261E-2</v>
      </c>
      <c r="H35" s="7">
        <f t="shared" si="0"/>
        <v>0.96308366441146975</v>
      </c>
    </row>
    <row r="36" spans="2:8">
      <c r="B36" s="11">
        <v>3</v>
      </c>
      <c r="C36" s="9">
        <v>21</v>
      </c>
      <c r="D36" s="2">
        <v>8</v>
      </c>
      <c r="E36" s="10">
        <v>4.01</v>
      </c>
      <c r="F36" s="2">
        <f t="shared" si="1"/>
        <v>1</v>
      </c>
      <c r="G36" s="7">
        <f t="shared" si="2"/>
        <v>0.61385395397891229</v>
      </c>
      <c r="H36" s="7">
        <f t="shared" si="0"/>
        <v>0.61385395397891229</v>
      </c>
    </row>
    <row r="37" spans="2:8">
      <c r="B37" s="11">
        <v>6</v>
      </c>
      <c r="C37" s="9">
        <v>13.18</v>
      </c>
      <c r="D37" s="2">
        <v>7</v>
      </c>
      <c r="E37" s="10">
        <v>4.1099999999999994</v>
      </c>
      <c r="F37" s="2">
        <f t="shared" si="1"/>
        <v>1</v>
      </c>
      <c r="G37" s="7">
        <f t="shared" si="2"/>
        <v>0.34786003509334124</v>
      </c>
      <c r="H37" s="7">
        <f t="shared" si="0"/>
        <v>0.34786003509334124</v>
      </c>
    </row>
    <row r="38" spans="2:8">
      <c r="B38" s="11">
        <v>5</v>
      </c>
      <c r="C38" s="9">
        <v>17</v>
      </c>
      <c r="D38" s="2">
        <v>8</v>
      </c>
      <c r="E38" s="10">
        <v>5.75</v>
      </c>
      <c r="F38" s="2">
        <f t="shared" si="1"/>
        <v>0</v>
      </c>
      <c r="G38" s="7">
        <f t="shared" si="2"/>
        <v>0.45534628448547626</v>
      </c>
      <c r="H38" s="7">
        <f t="shared" si="0"/>
        <v>0.54465371551452368</v>
      </c>
    </row>
    <row r="39" spans="2:8">
      <c r="D39" s="2"/>
      <c r="F39" s="7"/>
    </row>
    <row r="41" spans="2:8">
      <c r="C41" s="8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H40"/>
  <sheetViews>
    <sheetView workbookViewId="0">
      <selection activeCell="K7" sqref="K7"/>
    </sheetView>
  </sheetViews>
  <sheetFormatPr defaultRowHeight="18.75"/>
  <cols>
    <col min="2" max="2" width="8.796875" style="2"/>
    <col min="3" max="3" width="9.3984375" style="2" bestFit="1" customWidth="1"/>
    <col min="4" max="4" width="11.69921875" style="7" bestFit="1" customWidth="1"/>
    <col min="5" max="5" width="11.69921875" style="7" customWidth="1"/>
    <col min="6" max="6" width="11.69921875" customWidth="1"/>
    <col min="8" max="8" width="11.69921875" bestFit="1" customWidth="1"/>
  </cols>
  <sheetData>
    <row r="2" spans="2:8">
      <c r="B2" s="2" t="s">
        <v>0</v>
      </c>
      <c r="C2" s="2">
        <v>-0.40546510831799709</v>
      </c>
      <c r="E2" s="7" t="s">
        <v>31</v>
      </c>
      <c r="F2" s="1"/>
      <c r="G2" t="s">
        <v>39</v>
      </c>
      <c r="H2">
        <f>1/(1+EXP(-C2))</f>
        <v>0.39999999994964014</v>
      </c>
    </row>
    <row r="3" spans="2:8">
      <c r="E3" s="7">
        <f>LN(PRODUCT(H8:H38))</f>
        <v>-20.190350010277694</v>
      </c>
    </row>
    <row r="6" spans="2:8">
      <c r="D6" s="7">
        <v>4.5</v>
      </c>
    </row>
    <row r="7" spans="2:8" ht="20.25">
      <c r="B7" s="16" t="s">
        <v>34</v>
      </c>
      <c r="C7" s="17" t="s">
        <v>32</v>
      </c>
      <c r="D7" s="18" t="s">
        <v>35</v>
      </c>
      <c r="E7" s="2" t="s">
        <v>33</v>
      </c>
      <c r="F7" s="2" t="s">
        <v>38</v>
      </c>
      <c r="G7" s="7" t="s">
        <v>29</v>
      </c>
      <c r="H7" s="7" t="s">
        <v>30</v>
      </c>
    </row>
    <row r="8" spans="2:8">
      <c r="B8" s="11">
        <v>4</v>
      </c>
      <c r="C8" s="9">
        <v>16</v>
      </c>
      <c r="D8" s="2">
        <v>4</v>
      </c>
      <c r="E8" s="10">
        <v>6.78</v>
      </c>
      <c r="F8" s="2">
        <f>IF(E8&lt;$D$6,1,0)</f>
        <v>0</v>
      </c>
      <c r="G8" s="7">
        <f>1/(1+EXP(-($C$2+$C$3*B8+$C$4*C8+$C$5*D8)))</f>
        <v>0.39999999994964014</v>
      </c>
      <c r="H8" s="7">
        <f t="shared" ref="H8:H37" si="0">IF(F8=1,G8,1-G8)</f>
        <v>0.60000000005035981</v>
      </c>
    </row>
    <row r="9" spans="2:8">
      <c r="B9" s="11">
        <v>4</v>
      </c>
      <c r="C9" s="9">
        <v>14.82</v>
      </c>
      <c r="D9" s="2">
        <v>6</v>
      </c>
      <c r="E9" s="10">
        <v>3.9499999999999997</v>
      </c>
      <c r="F9" s="2">
        <f t="shared" ref="F9:F37" si="1">IF(E9&lt;$D$6,1,0)</f>
        <v>1</v>
      </c>
      <c r="G9" s="7">
        <f t="shared" ref="G9:G37" si="2">1/(1+EXP(-($C$2+$C$3*B9+$C$4*C9+$C$5*D9)))</f>
        <v>0.39999999994964014</v>
      </c>
      <c r="H9" s="7">
        <f t="shared" si="0"/>
        <v>0.39999999994964014</v>
      </c>
    </row>
    <row r="10" spans="2:8">
      <c r="B10" s="11">
        <v>5</v>
      </c>
      <c r="C10" s="9">
        <v>12.64</v>
      </c>
      <c r="D10" s="2">
        <v>6</v>
      </c>
      <c r="E10" s="10">
        <v>5</v>
      </c>
      <c r="F10" s="2">
        <f t="shared" si="1"/>
        <v>0</v>
      </c>
      <c r="G10" s="7">
        <f t="shared" si="2"/>
        <v>0.39999999994964014</v>
      </c>
      <c r="H10" s="7">
        <f t="shared" si="0"/>
        <v>0.60000000005035981</v>
      </c>
    </row>
    <row r="11" spans="2:8">
      <c r="B11" s="11">
        <v>4</v>
      </c>
      <c r="C11" s="9">
        <v>13.91</v>
      </c>
      <c r="D11" s="2">
        <v>8</v>
      </c>
      <c r="E11" s="10">
        <v>2.64</v>
      </c>
      <c r="F11" s="2">
        <f t="shared" si="1"/>
        <v>1</v>
      </c>
      <c r="G11" s="7">
        <f t="shared" si="2"/>
        <v>0.39999999994964014</v>
      </c>
      <c r="H11" s="7">
        <f t="shared" si="0"/>
        <v>0.39999999994964014</v>
      </c>
    </row>
    <row r="12" spans="2:8">
      <c r="B12" s="11">
        <v>9</v>
      </c>
      <c r="C12" s="9">
        <v>12.91</v>
      </c>
      <c r="D12" s="2">
        <v>6</v>
      </c>
      <c r="E12" s="10">
        <v>5.79</v>
      </c>
      <c r="F12" s="2">
        <f t="shared" si="1"/>
        <v>0</v>
      </c>
      <c r="G12" s="7">
        <f t="shared" si="2"/>
        <v>0.39999999994964014</v>
      </c>
      <c r="H12" s="7">
        <f t="shared" si="0"/>
        <v>0.60000000005035981</v>
      </c>
    </row>
    <row r="13" spans="2:8">
      <c r="B13" s="11">
        <v>6</v>
      </c>
      <c r="C13" s="9">
        <v>15.82</v>
      </c>
      <c r="D13" s="2">
        <v>8</v>
      </c>
      <c r="E13" s="10">
        <v>5.45</v>
      </c>
      <c r="F13" s="2">
        <f t="shared" si="1"/>
        <v>0</v>
      </c>
      <c r="G13" s="7">
        <f t="shared" si="2"/>
        <v>0.39999999994964014</v>
      </c>
      <c r="H13" s="7">
        <f t="shared" si="0"/>
        <v>0.60000000005035981</v>
      </c>
    </row>
    <row r="14" spans="2:8">
      <c r="B14" s="11">
        <v>3</v>
      </c>
      <c r="C14" s="9">
        <v>14.91</v>
      </c>
      <c r="D14" s="2">
        <v>4</v>
      </c>
      <c r="E14" s="10">
        <v>5.8000000000000007</v>
      </c>
      <c r="F14" s="2">
        <f t="shared" si="1"/>
        <v>0</v>
      </c>
      <c r="G14" s="7">
        <f t="shared" si="2"/>
        <v>0.39999999994964014</v>
      </c>
      <c r="H14" s="7">
        <f t="shared" si="0"/>
        <v>0.60000000005035981</v>
      </c>
    </row>
    <row r="15" spans="2:8">
      <c r="B15" s="11">
        <v>2</v>
      </c>
      <c r="C15" s="9">
        <v>12.82</v>
      </c>
      <c r="D15" s="2">
        <v>5</v>
      </c>
      <c r="E15" s="10">
        <v>3.4899999999999998</v>
      </c>
      <c r="F15" s="2">
        <f t="shared" si="1"/>
        <v>1</v>
      </c>
      <c r="G15" s="7">
        <f t="shared" si="2"/>
        <v>0.39999999994964014</v>
      </c>
      <c r="H15" s="7">
        <f t="shared" si="0"/>
        <v>0.39999999994964014</v>
      </c>
    </row>
    <row r="16" spans="2:8">
      <c r="B16" s="11">
        <v>9</v>
      </c>
      <c r="C16" s="9">
        <v>13.82</v>
      </c>
      <c r="D16" s="2">
        <v>6</v>
      </c>
      <c r="E16" s="10">
        <v>8.3099999999999987</v>
      </c>
      <c r="F16" s="2">
        <f t="shared" si="1"/>
        <v>0</v>
      </c>
      <c r="G16" s="7">
        <f t="shared" si="2"/>
        <v>0.39999999994964014</v>
      </c>
      <c r="H16" s="7">
        <f t="shared" si="0"/>
        <v>0.60000000005035981</v>
      </c>
    </row>
    <row r="17" spans="2:8">
      <c r="B17" s="11">
        <v>3</v>
      </c>
      <c r="C17" s="9">
        <v>18.55</v>
      </c>
      <c r="D17" s="2">
        <v>8</v>
      </c>
      <c r="E17" s="10">
        <v>3.51</v>
      </c>
      <c r="F17" s="2">
        <f t="shared" si="1"/>
        <v>1</v>
      </c>
      <c r="G17" s="7">
        <f t="shared" si="2"/>
        <v>0.39999999994964014</v>
      </c>
      <c r="H17" s="7">
        <f t="shared" si="0"/>
        <v>0.39999999994964014</v>
      </c>
    </row>
    <row r="18" spans="2:8">
      <c r="B18" s="11">
        <v>7</v>
      </c>
      <c r="C18" s="9">
        <v>10</v>
      </c>
      <c r="D18" s="2">
        <v>6</v>
      </c>
      <c r="E18" s="10">
        <v>7.1199999999999992</v>
      </c>
      <c r="F18" s="2">
        <f t="shared" si="1"/>
        <v>0</v>
      </c>
      <c r="G18" s="7">
        <f t="shared" si="2"/>
        <v>0.39999999994964014</v>
      </c>
      <c r="H18" s="7">
        <f t="shared" si="0"/>
        <v>0.60000000005035981</v>
      </c>
    </row>
    <row r="19" spans="2:8">
      <c r="B19" s="11">
        <v>3</v>
      </c>
      <c r="C19" s="9">
        <v>16.27</v>
      </c>
      <c r="D19" s="2">
        <v>6</v>
      </c>
      <c r="E19" s="10">
        <v>3.42</v>
      </c>
      <c r="F19" s="2">
        <f t="shared" si="1"/>
        <v>1</v>
      </c>
      <c r="G19" s="7">
        <f t="shared" si="2"/>
        <v>0.39999999994964014</v>
      </c>
      <c r="H19" s="7">
        <f t="shared" si="0"/>
        <v>0.39999999994964014</v>
      </c>
    </row>
    <row r="20" spans="2:8">
      <c r="B20" s="11">
        <v>7</v>
      </c>
      <c r="C20" s="9">
        <v>10.64</v>
      </c>
      <c r="D20" s="2">
        <v>6</v>
      </c>
      <c r="E20" s="10">
        <v>3.76</v>
      </c>
      <c r="F20" s="2">
        <f t="shared" si="1"/>
        <v>1</v>
      </c>
      <c r="G20" s="7">
        <f t="shared" si="2"/>
        <v>0.39999999994964014</v>
      </c>
      <c r="H20" s="7">
        <f t="shared" si="0"/>
        <v>0.39999999994964014</v>
      </c>
    </row>
    <row r="21" spans="2:8">
      <c r="B21" s="11">
        <v>1</v>
      </c>
      <c r="C21" s="9">
        <v>11.55</v>
      </c>
      <c r="D21" s="2">
        <v>6</v>
      </c>
      <c r="E21" s="10">
        <v>3.68</v>
      </c>
      <c r="F21" s="2">
        <f t="shared" si="1"/>
        <v>1</v>
      </c>
      <c r="G21" s="7">
        <f t="shared" si="2"/>
        <v>0.39999999994964014</v>
      </c>
      <c r="H21" s="7">
        <f t="shared" si="0"/>
        <v>0.39999999994964014</v>
      </c>
    </row>
    <row r="22" spans="2:8">
      <c r="B22" s="11">
        <v>4</v>
      </c>
      <c r="C22" s="9">
        <v>14.91</v>
      </c>
      <c r="D22" s="2">
        <v>6</v>
      </c>
      <c r="E22" s="10">
        <v>5.1800000000000006</v>
      </c>
      <c r="F22" s="2">
        <f t="shared" si="1"/>
        <v>0</v>
      </c>
      <c r="G22" s="7">
        <f t="shared" si="2"/>
        <v>0.39999999994964014</v>
      </c>
      <c r="H22" s="7">
        <f t="shared" si="0"/>
        <v>0.60000000005035981</v>
      </c>
    </row>
    <row r="23" spans="2:8">
      <c r="B23" s="11">
        <v>2</v>
      </c>
      <c r="C23" s="9">
        <v>18.36</v>
      </c>
      <c r="D23" s="2">
        <v>6</v>
      </c>
      <c r="E23" s="10">
        <v>3.6</v>
      </c>
      <c r="F23" s="2">
        <f t="shared" si="1"/>
        <v>1</v>
      </c>
      <c r="G23" s="7">
        <f t="shared" si="2"/>
        <v>0.39999999994964014</v>
      </c>
      <c r="H23" s="7">
        <f t="shared" si="0"/>
        <v>0.39999999994964014</v>
      </c>
    </row>
    <row r="24" spans="2:8">
      <c r="B24" s="11">
        <v>5</v>
      </c>
      <c r="C24" s="9">
        <v>15.18</v>
      </c>
      <c r="D24" s="2">
        <v>8</v>
      </c>
      <c r="E24" s="10">
        <v>5.48</v>
      </c>
      <c r="F24" s="2">
        <f t="shared" si="1"/>
        <v>0</v>
      </c>
      <c r="G24" s="7">
        <f t="shared" si="2"/>
        <v>0.39999999994964014</v>
      </c>
      <c r="H24" s="7">
        <f t="shared" si="0"/>
        <v>0.60000000005035981</v>
      </c>
    </row>
    <row r="25" spans="2:8">
      <c r="B25" s="11">
        <v>3</v>
      </c>
      <c r="C25" s="9">
        <v>16</v>
      </c>
      <c r="D25" s="2">
        <v>4</v>
      </c>
      <c r="E25" s="10">
        <v>4.3499999999999996</v>
      </c>
      <c r="F25" s="2">
        <f t="shared" si="1"/>
        <v>1</v>
      </c>
      <c r="G25" s="7">
        <f t="shared" si="2"/>
        <v>0.39999999994964014</v>
      </c>
      <c r="H25" s="7">
        <f t="shared" si="0"/>
        <v>0.39999999994964014</v>
      </c>
    </row>
    <row r="26" spans="2:8">
      <c r="B26" s="11">
        <v>7</v>
      </c>
      <c r="C26" s="9">
        <v>18.09</v>
      </c>
      <c r="D26" s="2">
        <v>8</v>
      </c>
      <c r="E26" s="10">
        <v>7.72</v>
      </c>
      <c r="F26" s="2">
        <f t="shared" si="1"/>
        <v>0</v>
      </c>
      <c r="G26" s="7">
        <f t="shared" si="2"/>
        <v>0.39999999994964014</v>
      </c>
      <c r="H26" s="7">
        <f t="shared" si="0"/>
        <v>0.60000000005035981</v>
      </c>
    </row>
    <row r="27" spans="2:8">
      <c r="B27" s="11">
        <v>4</v>
      </c>
      <c r="C27" s="9">
        <v>17.09</v>
      </c>
      <c r="D27" s="2">
        <v>6</v>
      </c>
      <c r="E27" s="10">
        <v>3.62</v>
      </c>
      <c r="F27" s="2">
        <f t="shared" si="1"/>
        <v>1</v>
      </c>
      <c r="G27" s="7">
        <f t="shared" si="2"/>
        <v>0.39999999994964014</v>
      </c>
      <c r="H27" s="7">
        <f t="shared" si="0"/>
        <v>0.39999999994964014</v>
      </c>
    </row>
    <row r="28" spans="2:8">
      <c r="B28" s="11">
        <v>2</v>
      </c>
      <c r="C28" s="9">
        <v>14.82</v>
      </c>
      <c r="D28" s="2">
        <v>6</v>
      </c>
      <c r="E28" s="10">
        <v>5.78</v>
      </c>
      <c r="F28" s="2">
        <f t="shared" si="1"/>
        <v>0</v>
      </c>
      <c r="G28" s="7">
        <f t="shared" si="2"/>
        <v>0.39999999994964014</v>
      </c>
      <c r="H28" s="7">
        <f t="shared" si="0"/>
        <v>0.60000000005035981</v>
      </c>
    </row>
    <row r="29" spans="2:8">
      <c r="B29" s="11">
        <v>7</v>
      </c>
      <c r="C29" s="9">
        <v>13.82</v>
      </c>
      <c r="D29" s="2">
        <v>6</v>
      </c>
      <c r="E29" s="10">
        <v>6.54</v>
      </c>
      <c r="F29" s="2">
        <f t="shared" si="1"/>
        <v>0</v>
      </c>
      <c r="G29" s="7">
        <f t="shared" si="2"/>
        <v>0.39999999994964014</v>
      </c>
      <c r="H29" s="7">
        <f t="shared" si="0"/>
        <v>0.60000000005035981</v>
      </c>
    </row>
    <row r="30" spans="2:8">
      <c r="B30" s="11">
        <v>5</v>
      </c>
      <c r="C30" s="9">
        <v>17.55</v>
      </c>
      <c r="D30" s="2">
        <v>5</v>
      </c>
      <c r="E30" s="10">
        <v>4.92</v>
      </c>
      <c r="F30" s="2">
        <f t="shared" si="1"/>
        <v>0</v>
      </c>
      <c r="G30" s="7">
        <f t="shared" si="2"/>
        <v>0.39999999994964014</v>
      </c>
      <c r="H30" s="7">
        <f t="shared" si="0"/>
        <v>0.60000000005035981</v>
      </c>
    </row>
    <row r="31" spans="2:8">
      <c r="B31" s="11">
        <v>7</v>
      </c>
      <c r="C31" s="9">
        <v>15.18</v>
      </c>
      <c r="D31" s="2">
        <v>6</v>
      </c>
      <c r="E31" s="10">
        <v>6.65</v>
      </c>
      <c r="F31" s="2">
        <f t="shared" si="1"/>
        <v>0</v>
      </c>
      <c r="G31" s="7">
        <f t="shared" si="2"/>
        <v>0.39999999994964014</v>
      </c>
      <c r="H31" s="7">
        <f t="shared" si="0"/>
        <v>0.60000000005035981</v>
      </c>
    </row>
    <row r="32" spans="2:8">
      <c r="B32" s="11">
        <v>2</v>
      </c>
      <c r="C32" s="9">
        <v>18.91</v>
      </c>
      <c r="D32" s="2">
        <v>4</v>
      </c>
      <c r="E32" s="10">
        <v>6.19</v>
      </c>
      <c r="F32" s="2">
        <f t="shared" si="1"/>
        <v>0</v>
      </c>
      <c r="G32" s="7">
        <f t="shared" si="2"/>
        <v>0.39999999994964014</v>
      </c>
      <c r="H32" s="7">
        <f t="shared" si="0"/>
        <v>0.60000000005035981</v>
      </c>
    </row>
    <row r="33" spans="2:8">
      <c r="B33" s="11">
        <v>4</v>
      </c>
      <c r="C33" s="9">
        <v>17.64</v>
      </c>
      <c r="D33" s="2">
        <v>5</v>
      </c>
      <c r="E33" s="10">
        <v>5.16</v>
      </c>
      <c r="F33" s="2">
        <f t="shared" si="1"/>
        <v>0</v>
      </c>
      <c r="G33" s="7">
        <f t="shared" si="2"/>
        <v>0.39999999994964014</v>
      </c>
      <c r="H33" s="7">
        <f t="shared" si="0"/>
        <v>0.60000000005035981</v>
      </c>
    </row>
    <row r="34" spans="2:8">
      <c r="B34" s="11">
        <v>7</v>
      </c>
      <c r="C34" s="9">
        <v>14.73</v>
      </c>
      <c r="D34" s="2">
        <v>5</v>
      </c>
      <c r="E34" s="10">
        <v>7.9700000000000006</v>
      </c>
      <c r="F34" s="2">
        <f t="shared" si="1"/>
        <v>0</v>
      </c>
      <c r="G34" s="7">
        <f t="shared" si="2"/>
        <v>0.39999999994964014</v>
      </c>
      <c r="H34" s="7">
        <f t="shared" si="0"/>
        <v>0.60000000005035981</v>
      </c>
    </row>
    <row r="35" spans="2:8">
      <c r="B35" s="11">
        <v>3</v>
      </c>
      <c r="C35" s="9">
        <v>21</v>
      </c>
      <c r="D35" s="2">
        <v>8</v>
      </c>
      <c r="E35" s="10">
        <v>4.01</v>
      </c>
      <c r="F35" s="2">
        <f t="shared" si="1"/>
        <v>1</v>
      </c>
      <c r="G35" s="7">
        <f t="shared" si="2"/>
        <v>0.39999999994964014</v>
      </c>
      <c r="H35" s="7">
        <f t="shared" si="0"/>
        <v>0.39999999994964014</v>
      </c>
    </row>
    <row r="36" spans="2:8">
      <c r="B36" s="11">
        <v>6</v>
      </c>
      <c r="C36" s="9">
        <v>13.18</v>
      </c>
      <c r="D36" s="2">
        <v>7</v>
      </c>
      <c r="E36" s="10">
        <v>4.1099999999999994</v>
      </c>
      <c r="F36" s="2">
        <f t="shared" si="1"/>
        <v>1</v>
      </c>
      <c r="G36" s="7">
        <f t="shared" si="2"/>
        <v>0.39999999994964014</v>
      </c>
      <c r="H36" s="7">
        <f t="shared" si="0"/>
        <v>0.39999999994964014</v>
      </c>
    </row>
    <row r="37" spans="2:8">
      <c r="B37" s="11">
        <v>5</v>
      </c>
      <c r="C37" s="9">
        <v>17</v>
      </c>
      <c r="D37" s="2">
        <v>8</v>
      </c>
      <c r="E37" s="10">
        <v>5.75</v>
      </c>
      <c r="F37" s="2">
        <f t="shared" si="1"/>
        <v>0</v>
      </c>
      <c r="G37" s="7">
        <f t="shared" si="2"/>
        <v>0.39999999994964014</v>
      </c>
      <c r="H37" s="7">
        <f t="shared" si="0"/>
        <v>0.60000000005035981</v>
      </c>
    </row>
    <row r="38" spans="2:8">
      <c r="D38" s="2"/>
      <c r="F38" s="7"/>
    </row>
    <row r="40" spans="2:8">
      <c r="C40" s="8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L41"/>
  <sheetViews>
    <sheetView workbookViewId="0">
      <selection activeCell="I5" sqref="I5"/>
    </sheetView>
  </sheetViews>
  <sheetFormatPr defaultRowHeight="18.75"/>
  <cols>
    <col min="2" max="2" width="8.796875" style="2"/>
    <col min="3" max="3" width="9.3984375" style="2" bestFit="1" customWidth="1"/>
    <col min="4" max="4" width="11.69921875" style="7" bestFit="1" customWidth="1"/>
    <col min="5" max="5" width="11.69921875" style="7" customWidth="1"/>
    <col min="6" max="6" width="11.69921875" customWidth="1"/>
    <col min="8" max="8" width="11.69921875" bestFit="1" customWidth="1"/>
  </cols>
  <sheetData>
    <row r="2" spans="2:12" ht="21.75">
      <c r="B2" s="2" t="s">
        <v>0</v>
      </c>
      <c r="C2" s="2">
        <v>5.0811506915736935</v>
      </c>
      <c r="E2" s="7" t="s">
        <v>31</v>
      </c>
      <c r="F2" s="7"/>
      <c r="G2" t="s">
        <v>39</v>
      </c>
      <c r="H2">
        <f>1/(1+EXP(-C2))</f>
        <v>0.99382560407956888</v>
      </c>
      <c r="I2" s="1"/>
      <c r="J2" t="s">
        <v>44</v>
      </c>
      <c r="K2">
        <f>1-(E3/'InClass-Solver-Null'!E3)</f>
        <v>0.19070427509735988</v>
      </c>
    </row>
    <row r="3" spans="2:12">
      <c r="B3" s="2" t="s">
        <v>48</v>
      </c>
      <c r="C3" s="2">
        <v>-0.64919725586942623</v>
      </c>
      <c r="E3" s="7">
        <f>LN(PRODUCT(H9:H39))</f>
        <v>-16.339963947605714</v>
      </c>
      <c r="F3" s="7"/>
      <c r="G3" t="s">
        <v>45</v>
      </c>
      <c r="H3">
        <f>EXP(C3)</f>
        <v>0.52246501419188229</v>
      </c>
      <c r="J3" t="s">
        <v>51</v>
      </c>
      <c r="K3">
        <f>-2*('InClass-Solver-Null'!E3-'InClass3-Solver-NoW'!E3)</f>
        <v>7.7007721253439598</v>
      </c>
      <c r="L3">
        <f>_xlfn.CHISQ.DIST.RT(K3,COUNT(C3:C5))</f>
        <v>5.2618080035912826E-2</v>
      </c>
    </row>
    <row r="4" spans="2:12">
      <c r="B4" s="2" t="s">
        <v>49</v>
      </c>
      <c r="C4" s="2">
        <v>-0.16955234006581843</v>
      </c>
      <c r="G4" t="s">
        <v>46</v>
      </c>
      <c r="H4">
        <f>EXP(C4)</f>
        <v>0.84404257608023681</v>
      </c>
    </row>
    <row r="5" spans="2:12">
      <c r="C5" s="2">
        <v>0</v>
      </c>
    </row>
    <row r="7" spans="2:12">
      <c r="D7" s="7">
        <v>4.5</v>
      </c>
    </row>
    <row r="8" spans="2:12" ht="20.25">
      <c r="B8" s="16" t="s">
        <v>34</v>
      </c>
      <c r="C8" s="17" t="s">
        <v>32</v>
      </c>
      <c r="D8" s="20" t="s">
        <v>35</v>
      </c>
      <c r="E8" s="2" t="s">
        <v>33</v>
      </c>
      <c r="F8" s="2" t="s">
        <v>38</v>
      </c>
      <c r="G8" s="7" t="s">
        <v>29</v>
      </c>
      <c r="H8" s="7" t="s">
        <v>30</v>
      </c>
    </row>
    <row r="9" spans="2:12">
      <c r="B9" s="11">
        <v>4</v>
      </c>
      <c r="C9" s="9">
        <v>16</v>
      </c>
      <c r="D9" s="21">
        <v>4</v>
      </c>
      <c r="E9" s="10">
        <v>6.78</v>
      </c>
      <c r="F9" s="2">
        <f>IF(E9&lt;$D$7,1,0)</f>
        <v>0</v>
      </c>
      <c r="G9" s="7">
        <f t="shared" ref="G9:G38" si="0">1/(1+EXP(-($C$2+$C$3*B9+$C$4*C9)))</f>
        <v>0.44312823953186914</v>
      </c>
      <c r="H9" s="7">
        <f t="shared" ref="H9:H38" si="1">IF(F9=1,G9,1-G9)</f>
        <v>0.55687176046813081</v>
      </c>
    </row>
    <row r="10" spans="2:12">
      <c r="B10" s="11">
        <v>4</v>
      </c>
      <c r="C10" s="9">
        <v>14.82</v>
      </c>
      <c r="D10" s="21">
        <v>6</v>
      </c>
      <c r="E10" s="10">
        <v>3.9499999999999997</v>
      </c>
      <c r="F10" s="2">
        <f t="shared" ref="F10:F38" si="2">IF(E10&lt;$D$7,1,0)</f>
        <v>1</v>
      </c>
      <c r="G10" s="7">
        <f t="shared" si="0"/>
        <v>0.49289947445854959</v>
      </c>
      <c r="H10" s="7">
        <f t="shared" si="1"/>
        <v>0.49289947445854959</v>
      </c>
    </row>
    <row r="11" spans="2:12">
      <c r="B11" s="11">
        <v>5</v>
      </c>
      <c r="C11" s="9">
        <v>12.64</v>
      </c>
      <c r="D11" s="21">
        <v>6</v>
      </c>
      <c r="E11" s="10">
        <v>5</v>
      </c>
      <c r="F11" s="2">
        <f t="shared" si="2"/>
        <v>0</v>
      </c>
      <c r="G11" s="7">
        <f t="shared" si="0"/>
        <v>0.42360856628611415</v>
      </c>
      <c r="H11" s="7">
        <f t="shared" si="1"/>
        <v>0.57639143371388579</v>
      </c>
    </row>
    <row r="12" spans="2:12">
      <c r="B12" s="11">
        <v>4</v>
      </c>
      <c r="C12" s="9">
        <v>13.91</v>
      </c>
      <c r="D12" s="21">
        <v>8</v>
      </c>
      <c r="E12" s="10">
        <v>2.64</v>
      </c>
      <c r="F12" s="2">
        <f t="shared" si="2"/>
        <v>1</v>
      </c>
      <c r="G12" s="7">
        <f t="shared" si="0"/>
        <v>0.5314306561315072</v>
      </c>
      <c r="H12" s="7">
        <f t="shared" si="1"/>
        <v>0.5314306561315072</v>
      </c>
    </row>
    <row r="13" spans="2:12">
      <c r="B13" s="11">
        <v>9</v>
      </c>
      <c r="C13" s="9">
        <v>12.91</v>
      </c>
      <c r="D13" s="21">
        <v>6</v>
      </c>
      <c r="E13" s="10">
        <v>5.79</v>
      </c>
      <c r="F13" s="2">
        <f t="shared" si="2"/>
        <v>0</v>
      </c>
      <c r="G13" s="7">
        <f t="shared" si="0"/>
        <v>4.971074446989391E-2</v>
      </c>
      <c r="H13" s="7">
        <f t="shared" si="1"/>
        <v>0.95028925553010613</v>
      </c>
    </row>
    <row r="14" spans="2:12">
      <c r="B14" s="11">
        <v>6</v>
      </c>
      <c r="C14" s="9">
        <v>15.82</v>
      </c>
      <c r="D14" s="21">
        <v>8</v>
      </c>
      <c r="E14" s="10">
        <v>5.45</v>
      </c>
      <c r="F14" s="2">
        <f t="shared" si="2"/>
        <v>0</v>
      </c>
      <c r="G14" s="7">
        <f t="shared" si="0"/>
        <v>0.18297041042034665</v>
      </c>
      <c r="H14" s="7">
        <f t="shared" si="1"/>
        <v>0.81702958957965333</v>
      </c>
    </row>
    <row r="15" spans="2:12">
      <c r="B15" s="11">
        <v>3</v>
      </c>
      <c r="C15" s="9">
        <v>14.91</v>
      </c>
      <c r="D15" s="21">
        <v>4</v>
      </c>
      <c r="E15" s="10">
        <v>5.8000000000000007</v>
      </c>
      <c r="F15" s="2">
        <f t="shared" si="2"/>
        <v>0</v>
      </c>
      <c r="G15" s="7">
        <f t="shared" si="0"/>
        <v>0.6469212687238437</v>
      </c>
      <c r="H15" s="7">
        <f t="shared" si="1"/>
        <v>0.3530787312761563</v>
      </c>
    </row>
    <row r="16" spans="2:12">
      <c r="B16" s="11">
        <v>2</v>
      </c>
      <c r="C16" s="9">
        <v>12.82</v>
      </c>
      <c r="D16" s="21">
        <v>5</v>
      </c>
      <c r="E16" s="10">
        <v>3.4899999999999998</v>
      </c>
      <c r="F16" s="2">
        <f t="shared" si="2"/>
        <v>1</v>
      </c>
      <c r="G16" s="7">
        <f t="shared" si="0"/>
        <v>0.83328572619454178</v>
      </c>
      <c r="H16" s="7">
        <f t="shared" si="1"/>
        <v>0.83328572619454178</v>
      </c>
    </row>
    <row r="17" spans="2:8">
      <c r="B17" s="11">
        <v>9</v>
      </c>
      <c r="C17" s="9">
        <v>13.82</v>
      </c>
      <c r="D17" s="21">
        <v>6</v>
      </c>
      <c r="E17" s="10">
        <v>8.3099999999999987</v>
      </c>
      <c r="F17" s="2">
        <f t="shared" si="2"/>
        <v>0</v>
      </c>
      <c r="G17" s="7">
        <f t="shared" si="0"/>
        <v>4.2908134736103692E-2</v>
      </c>
      <c r="H17" s="7">
        <f t="shared" si="1"/>
        <v>0.95709186526389634</v>
      </c>
    </row>
    <row r="18" spans="2:8">
      <c r="B18" s="11">
        <v>3</v>
      </c>
      <c r="C18" s="9">
        <v>18.55</v>
      </c>
      <c r="D18" s="21">
        <v>8</v>
      </c>
      <c r="E18" s="10">
        <v>3.51</v>
      </c>
      <c r="F18" s="2">
        <f t="shared" si="2"/>
        <v>1</v>
      </c>
      <c r="G18" s="7">
        <f t="shared" si="0"/>
        <v>0.49709078676637303</v>
      </c>
      <c r="H18" s="7">
        <f t="shared" si="1"/>
        <v>0.49709078676637303</v>
      </c>
    </row>
    <row r="19" spans="2:8">
      <c r="B19" s="11">
        <v>7</v>
      </c>
      <c r="C19" s="9">
        <v>10</v>
      </c>
      <c r="D19" s="21">
        <v>6</v>
      </c>
      <c r="E19" s="10">
        <v>7.1199999999999992</v>
      </c>
      <c r="F19" s="2">
        <f t="shared" si="2"/>
        <v>0</v>
      </c>
      <c r="G19" s="7">
        <f t="shared" si="0"/>
        <v>0.23889385444894093</v>
      </c>
      <c r="H19" s="7">
        <f t="shared" si="1"/>
        <v>0.76110614555105904</v>
      </c>
    </row>
    <row r="20" spans="2:8">
      <c r="B20" s="11">
        <v>3</v>
      </c>
      <c r="C20" s="9">
        <v>16.27</v>
      </c>
      <c r="D20" s="21">
        <v>6</v>
      </c>
      <c r="E20" s="10">
        <v>3.42</v>
      </c>
      <c r="F20" s="2">
        <f t="shared" si="2"/>
        <v>1</v>
      </c>
      <c r="G20" s="7">
        <f t="shared" si="0"/>
        <v>0.59265268269020688</v>
      </c>
      <c r="H20" s="7">
        <f t="shared" si="1"/>
        <v>0.59265268269020688</v>
      </c>
    </row>
    <row r="21" spans="2:8">
      <c r="B21" s="11">
        <v>7</v>
      </c>
      <c r="C21" s="9">
        <v>10.64</v>
      </c>
      <c r="D21" s="21">
        <v>6</v>
      </c>
      <c r="E21" s="10">
        <v>3.76</v>
      </c>
      <c r="F21" s="2">
        <f t="shared" si="2"/>
        <v>1</v>
      </c>
      <c r="G21" s="7">
        <f t="shared" si="0"/>
        <v>0.21972545594136381</v>
      </c>
      <c r="H21" s="7">
        <f t="shared" si="1"/>
        <v>0.21972545594136381</v>
      </c>
    </row>
    <row r="22" spans="2:8">
      <c r="B22" s="11">
        <v>1</v>
      </c>
      <c r="C22" s="9">
        <v>11.55</v>
      </c>
      <c r="D22" s="21">
        <v>6</v>
      </c>
      <c r="E22" s="10">
        <v>3.68</v>
      </c>
      <c r="F22" s="2">
        <f t="shared" si="2"/>
        <v>1</v>
      </c>
      <c r="G22" s="7">
        <f t="shared" si="0"/>
        <v>0.92227194765950782</v>
      </c>
      <c r="H22" s="7">
        <f t="shared" si="1"/>
        <v>0.92227194765950782</v>
      </c>
    </row>
    <row r="23" spans="2:8">
      <c r="B23" s="11">
        <v>4</v>
      </c>
      <c r="C23" s="9">
        <v>14.91</v>
      </c>
      <c r="D23" s="21">
        <v>6</v>
      </c>
      <c r="E23" s="10">
        <v>5.1800000000000006</v>
      </c>
      <c r="F23" s="2">
        <f t="shared" si="2"/>
        <v>0</v>
      </c>
      <c r="G23" s="7">
        <f t="shared" si="0"/>
        <v>0.48908580338532559</v>
      </c>
      <c r="H23" s="7">
        <f t="shared" si="1"/>
        <v>0.51091419661467441</v>
      </c>
    </row>
    <row r="24" spans="2:8">
      <c r="B24" s="11">
        <v>2</v>
      </c>
      <c r="C24" s="9">
        <v>18.36</v>
      </c>
      <c r="D24" s="21">
        <v>6</v>
      </c>
      <c r="E24" s="10">
        <v>3.6</v>
      </c>
      <c r="F24" s="2">
        <f t="shared" si="2"/>
        <v>1</v>
      </c>
      <c r="G24" s="7">
        <f t="shared" si="0"/>
        <v>0.66145282452840914</v>
      </c>
      <c r="H24" s="7">
        <f t="shared" si="1"/>
        <v>0.66145282452840914</v>
      </c>
    </row>
    <row r="25" spans="2:8">
      <c r="B25" s="11">
        <v>5</v>
      </c>
      <c r="C25" s="9">
        <v>15.18</v>
      </c>
      <c r="D25" s="21">
        <v>8</v>
      </c>
      <c r="E25" s="10">
        <v>5.48</v>
      </c>
      <c r="F25" s="2">
        <f t="shared" si="2"/>
        <v>0</v>
      </c>
      <c r="G25" s="7">
        <f t="shared" si="0"/>
        <v>0.32330158581540192</v>
      </c>
      <c r="H25" s="7">
        <f t="shared" si="1"/>
        <v>0.67669841418459808</v>
      </c>
    </row>
    <row r="26" spans="2:8">
      <c r="B26" s="11">
        <v>3</v>
      </c>
      <c r="C26" s="9">
        <v>16</v>
      </c>
      <c r="D26" s="21">
        <v>4</v>
      </c>
      <c r="E26" s="10">
        <v>4.3499999999999996</v>
      </c>
      <c r="F26" s="2">
        <f t="shared" si="2"/>
        <v>1</v>
      </c>
      <c r="G26" s="7">
        <f t="shared" si="0"/>
        <v>0.60365588149245131</v>
      </c>
      <c r="H26" s="7">
        <f t="shared" si="1"/>
        <v>0.60365588149245131</v>
      </c>
    </row>
    <row r="27" spans="2:8">
      <c r="B27" s="11">
        <v>7</v>
      </c>
      <c r="C27" s="9">
        <v>18.09</v>
      </c>
      <c r="D27" s="21">
        <v>8</v>
      </c>
      <c r="E27" s="10">
        <v>7.72</v>
      </c>
      <c r="F27" s="2">
        <f t="shared" si="2"/>
        <v>0</v>
      </c>
      <c r="G27" s="7">
        <f t="shared" si="0"/>
        <v>7.3752134751204207E-2</v>
      </c>
      <c r="H27" s="7">
        <f t="shared" si="1"/>
        <v>0.92624786524879577</v>
      </c>
    </row>
    <row r="28" spans="2:8">
      <c r="B28" s="11">
        <v>4</v>
      </c>
      <c r="C28" s="9">
        <v>17.09</v>
      </c>
      <c r="D28" s="21">
        <v>6</v>
      </c>
      <c r="E28" s="10">
        <v>3.62</v>
      </c>
      <c r="F28" s="2">
        <f t="shared" si="2"/>
        <v>1</v>
      </c>
      <c r="G28" s="7">
        <f t="shared" si="0"/>
        <v>0.39812402536328678</v>
      </c>
      <c r="H28" s="7">
        <f t="shared" si="1"/>
        <v>0.39812402536328678</v>
      </c>
    </row>
    <row r="29" spans="2:8">
      <c r="B29" s="11">
        <v>2</v>
      </c>
      <c r="C29" s="9">
        <v>14.82</v>
      </c>
      <c r="D29" s="21">
        <v>6</v>
      </c>
      <c r="E29" s="10">
        <v>5.78</v>
      </c>
      <c r="F29" s="2">
        <f t="shared" si="2"/>
        <v>0</v>
      </c>
      <c r="G29" s="7">
        <f t="shared" si="0"/>
        <v>0.78074112167462117</v>
      </c>
      <c r="H29" s="7">
        <f t="shared" si="1"/>
        <v>0.21925887832537883</v>
      </c>
    </row>
    <row r="30" spans="2:8">
      <c r="B30" s="11">
        <v>7</v>
      </c>
      <c r="C30" s="9">
        <v>13.82</v>
      </c>
      <c r="D30" s="21">
        <v>6</v>
      </c>
      <c r="E30" s="10">
        <v>6.54</v>
      </c>
      <c r="F30" s="2">
        <f t="shared" si="2"/>
        <v>0</v>
      </c>
      <c r="G30" s="7">
        <f t="shared" si="0"/>
        <v>0.14106851789455227</v>
      </c>
      <c r="H30" s="7">
        <f t="shared" si="1"/>
        <v>0.85893148210544767</v>
      </c>
    </row>
    <row r="31" spans="2:8">
      <c r="B31" s="11">
        <v>5</v>
      </c>
      <c r="C31" s="9">
        <v>17.55</v>
      </c>
      <c r="D31" s="21">
        <v>5</v>
      </c>
      <c r="E31" s="10">
        <v>4.92</v>
      </c>
      <c r="F31" s="2">
        <f t="shared" si="2"/>
        <v>0</v>
      </c>
      <c r="G31" s="7">
        <f t="shared" si="0"/>
        <v>0.24223239825341136</v>
      </c>
      <c r="H31" s="7">
        <f t="shared" si="1"/>
        <v>0.75776760174658864</v>
      </c>
    </row>
    <row r="32" spans="2:8">
      <c r="B32" s="11">
        <v>7</v>
      </c>
      <c r="C32" s="9">
        <v>15.18</v>
      </c>
      <c r="D32" s="21">
        <v>6</v>
      </c>
      <c r="E32" s="10">
        <v>6.65</v>
      </c>
      <c r="F32" s="2">
        <f t="shared" si="2"/>
        <v>0</v>
      </c>
      <c r="G32" s="7">
        <f t="shared" si="0"/>
        <v>0.11536903062376974</v>
      </c>
      <c r="H32" s="7">
        <f t="shared" si="1"/>
        <v>0.8846309693762302</v>
      </c>
    </row>
    <row r="33" spans="2:8">
      <c r="B33" s="11">
        <v>2</v>
      </c>
      <c r="C33" s="9">
        <v>18.91</v>
      </c>
      <c r="D33" s="21">
        <v>4</v>
      </c>
      <c r="E33" s="10">
        <v>6.19</v>
      </c>
      <c r="F33" s="2">
        <f t="shared" si="2"/>
        <v>0</v>
      </c>
      <c r="G33" s="7">
        <f t="shared" si="0"/>
        <v>0.64026659507620942</v>
      </c>
      <c r="H33" s="7">
        <f t="shared" si="1"/>
        <v>0.35973340492379058</v>
      </c>
    </row>
    <row r="34" spans="2:8">
      <c r="B34" s="11">
        <v>4</v>
      </c>
      <c r="C34" s="9">
        <v>17.64</v>
      </c>
      <c r="D34" s="21">
        <v>5</v>
      </c>
      <c r="E34" s="10">
        <v>5.16</v>
      </c>
      <c r="F34" s="2">
        <f t="shared" si="2"/>
        <v>0</v>
      </c>
      <c r="G34" s="7">
        <f t="shared" si="0"/>
        <v>0.37600460200011432</v>
      </c>
      <c r="H34" s="7">
        <f t="shared" si="1"/>
        <v>0.62399539799988568</v>
      </c>
    </row>
    <row r="35" spans="2:8">
      <c r="B35" s="11">
        <v>7</v>
      </c>
      <c r="C35" s="9">
        <v>14.73</v>
      </c>
      <c r="D35" s="21">
        <v>5</v>
      </c>
      <c r="E35" s="10">
        <v>7.9700000000000006</v>
      </c>
      <c r="F35" s="2">
        <f t="shared" si="2"/>
        <v>0</v>
      </c>
      <c r="G35" s="7">
        <f t="shared" si="0"/>
        <v>0.12338741012701983</v>
      </c>
      <c r="H35" s="7">
        <f t="shared" si="1"/>
        <v>0.87661258987298019</v>
      </c>
    </row>
    <row r="36" spans="2:8">
      <c r="B36" s="11">
        <v>3</v>
      </c>
      <c r="C36" s="9">
        <v>21</v>
      </c>
      <c r="D36" s="21">
        <v>8</v>
      </c>
      <c r="E36" s="10">
        <v>4.01</v>
      </c>
      <c r="F36" s="2">
        <f t="shared" si="2"/>
        <v>1</v>
      </c>
      <c r="G36" s="7">
        <f t="shared" si="0"/>
        <v>0.39483332134781235</v>
      </c>
      <c r="H36" s="7">
        <f t="shared" si="1"/>
        <v>0.39483332134781235</v>
      </c>
    </row>
    <row r="37" spans="2:8">
      <c r="B37" s="11">
        <v>6</v>
      </c>
      <c r="C37" s="9">
        <v>13.18</v>
      </c>
      <c r="D37" s="21">
        <v>7</v>
      </c>
      <c r="E37" s="10">
        <v>4.1099999999999994</v>
      </c>
      <c r="F37" s="2">
        <f t="shared" si="2"/>
        <v>1</v>
      </c>
      <c r="G37" s="7">
        <f t="shared" si="0"/>
        <v>0.25946853419466825</v>
      </c>
      <c r="H37" s="7">
        <f t="shared" si="1"/>
        <v>0.25946853419466825</v>
      </c>
    </row>
    <row r="38" spans="2:8">
      <c r="B38" s="11">
        <v>5</v>
      </c>
      <c r="C38" s="9">
        <v>17</v>
      </c>
      <c r="D38" s="21">
        <v>8</v>
      </c>
      <c r="E38" s="10">
        <v>5.75</v>
      </c>
      <c r="F38" s="2">
        <f t="shared" si="2"/>
        <v>0</v>
      </c>
      <c r="G38" s="7">
        <f t="shared" si="0"/>
        <v>0.25975826199079577</v>
      </c>
      <c r="H38" s="7">
        <f t="shared" si="1"/>
        <v>0.74024173800920423</v>
      </c>
    </row>
    <row r="39" spans="2:8">
      <c r="D39" s="2"/>
      <c r="F39" s="7"/>
    </row>
    <row r="41" spans="2:8">
      <c r="C41" s="8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L41"/>
  <sheetViews>
    <sheetView workbookViewId="0">
      <selection activeCell="J6" sqref="J6"/>
    </sheetView>
  </sheetViews>
  <sheetFormatPr defaultRowHeight="18.75"/>
  <cols>
    <col min="2" max="2" width="8.796875" style="2"/>
    <col min="3" max="3" width="9.3984375" style="2" bestFit="1" customWidth="1"/>
    <col min="4" max="4" width="11.69921875" style="7" bestFit="1" customWidth="1"/>
    <col min="5" max="5" width="11.69921875" style="7" customWidth="1"/>
    <col min="6" max="6" width="11.69921875" customWidth="1"/>
    <col min="8" max="8" width="11.69921875" bestFit="1" customWidth="1"/>
  </cols>
  <sheetData>
    <row r="2" spans="2:12" ht="21.75">
      <c r="B2" s="2" t="s">
        <v>0</v>
      </c>
      <c r="C2" s="2">
        <v>-1.9442942068328133</v>
      </c>
      <c r="E2" s="7" t="s">
        <v>31</v>
      </c>
      <c r="F2" s="7"/>
      <c r="G2" t="s">
        <v>39</v>
      </c>
      <c r="H2">
        <f>1/(1+EXP(-C2))</f>
        <v>0.12517685080986121</v>
      </c>
      <c r="I2" s="1"/>
      <c r="J2" t="s">
        <v>44</v>
      </c>
      <c r="K2">
        <f>1-(E3/'InClass-Solver-Null'!E3)</f>
        <v>1.673225343623197E-2</v>
      </c>
    </row>
    <row r="3" spans="2:12">
      <c r="B3" s="2" t="s">
        <v>48</v>
      </c>
      <c r="C3" s="2">
        <v>0</v>
      </c>
      <c r="E3" s="7">
        <f>LN(PRODUCT(H9:H39))</f>
        <v>-19.852519956939499</v>
      </c>
      <c r="F3" s="7"/>
      <c r="G3" t="s">
        <v>45</v>
      </c>
      <c r="H3">
        <f>EXP(C3)</f>
        <v>1</v>
      </c>
      <c r="J3" t="s">
        <v>51</v>
      </c>
      <c r="K3">
        <f>-2*('InClass-Solver-Null'!E3-'InClass3-Solver-NoC'!E3)</f>
        <v>0.6756601066763892</v>
      </c>
      <c r="L3">
        <f>_xlfn.CHISQ.DIST.RT(K3,COUNT(C3:C5))</f>
        <v>0.87891344980087394</v>
      </c>
    </row>
    <row r="4" spans="2:12">
      <c r="B4" s="2" t="s">
        <v>49</v>
      </c>
      <c r="C4" s="2">
        <v>3.582094275404406E-3</v>
      </c>
      <c r="G4" t="s">
        <v>46</v>
      </c>
      <c r="H4">
        <f>EXP(C4)</f>
        <v>1.0035885176425154</v>
      </c>
    </row>
    <row r="5" spans="2:12">
      <c r="B5" s="2" t="s">
        <v>50</v>
      </c>
      <c r="C5" s="2">
        <v>0.24180171923364316</v>
      </c>
    </row>
    <row r="7" spans="2:12">
      <c r="D7" s="7">
        <v>4.5</v>
      </c>
    </row>
    <row r="8" spans="2:12" ht="20.25">
      <c r="B8" s="22" t="s">
        <v>34</v>
      </c>
      <c r="C8" s="17" t="s">
        <v>32</v>
      </c>
      <c r="D8" s="24" t="s">
        <v>35</v>
      </c>
      <c r="E8" s="2" t="s">
        <v>33</v>
      </c>
      <c r="F8" s="2" t="s">
        <v>38</v>
      </c>
      <c r="G8" s="7" t="s">
        <v>29</v>
      </c>
      <c r="H8" s="7" t="s">
        <v>30</v>
      </c>
    </row>
    <row r="9" spans="2:12">
      <c r="B9" s="23">
        <v>4</v>
      </c>
      <c r="C9" s="9">
        <v>16</v>
      </c>
      <c r="D9" s="25">
        <v>4</v>
      </c>
      <c r="E9" s="10">
        <v>6.78</v>
      </c>
      <c r="F9" s="2">
        <f>IF(E9&lt;$D$7,1,0)</f>
        <v>0</v>
      </c>
      <c r="G9" s="7">
        <f>1/(1+EXP(-($C$2+$C$4*C9+$C$5*D9)))</f>
        <v>0.285003981970471</v>
      </c>
      <c r="H9" s="7">
        <f t="shared" ref="H9:H38" si="0">IF(F9=1,G9,1-G9)</f>
        <v>0.71499601802952895</v>
      </c>
    </row>
    <row r="10" spans="2:12">
      <c r="B10" s="23">
        <v>4</v>
      </c>
      <c r="C10" s="9">
        <v>14.82</v>
      </c>
      <c r="D10" s="25">
        <v>6</v>
      </c>
      <c r="E10" s="10">
        <v>3.9499999999999997</v>
      </c>
      <c r="F10" s="2">
        <f t="shared" ref="F10:F38" si="1">IF(E10&lt;$D$7,1,0)</f>
        <v>1</v>
      </c>
      <c r="G10" s="7">
        <f t="shared" ref="G10:G38" si="2">1/(1+EXP(-($C$2+$C$4*C10+$C$5*D10)))</f>
        <v>0.39164631558515972</v>
      </c>
      <c r="H10" s="7">
        <f t="shared" si="0"/>
        <v>0.39164631558515972</v>
      </c>
    </row>
    <row r="11" spans="2:12">
      <c r="B11" s="23">
        <v>5</v>
      </c>
      <c r="C11" s="9">
        <v>12.64</v>
      </c>
      <c r="D11" s="25">
        <v>6</v>
      </c>
      <c r="E11" s="10">
        <v>5</v>
      </c>
      <c r="F11" s="2">
        <f t="shared" si="1"/>
        <v>0</v>
      </c>
      <c r="G11" s="7">
        <f t="shared" si="2"/>
        <v>0.38978733791197884</v>
      </c>
      <c r="H11" s="7">
        <f t="shared" si="0"/>
        <v>0.61021266208802116</v>
      </c>
    </row>
    <row r="12" spans="2:12">
      <c r="B12" s="23">
        <v>4</v>
      </c>
      <c r="C12" s="9">
        <v>13.91</v>
      </c>
      <c r="D12" s="25">
        <v>8</v>
      </c>
      <c r="E12" s="10">
        <v>2.64</v>
      </c>
      <c r="F12" s="2">
        <f t="shared" si="1"/>
        <v>1</v>
      </c>
      <c r="G12" s="7">
        <f t="shared" si="2"/>
        <v>0.50998529182534524</v>
      </c>
      <c r="H12" s="7">
        <f t="shared" si="0"/>
        <v>0.50998529182534524</v>
      </c>
    </row>
    <row r="13" spans="2:12">
      <c r="B13" s="23">
        <v>9</v>
      </c>
      <c r="C13" s="9">
        <v>12.91</v>
      </c>
      <c r="D13" s="25">
        <v>6</v>
      </c>
      <c r="E13" s="10">
        <v>5.79</v>
      </c>
      <c r="F13" s="2">
        <f t="shared" si="1"/>
        <v>0</v>
      </c>
      <c r="G13" s="7">
        <f t="shared" si="2"/>
        <v>0.39001740578625044</v>
      </c>
      <c r="H13" s="7">
        <f t="shared" si="0"/>
        <v>0.60998259421374956</v>
      </c>
    </row>
    <row r="14" spans="2:12">
      <c r="B14" s="23">
        <v>6</v>
      </c>
      <c r="C14" s="9">
        <v>15.82</v>
      </c>
      <c r="D14" s="25">
        <v>8</v>
      </c>
      <c r="E14" s="10">
        <v>5.45</v>
      </c>
      <c r="F14" s="2">
        <f t="shared" si="1"/>
        <v>0</v>
      </c>
      <c r="G14" s="7">
        <f t="shared" si="2"/>
        <v>0.51169493620549866</v>
      </c>
      <c r="H14" s="7">
        <f t="shared" si="0"/>
        <v>0.48830506379450134</v>
      </c>
    </row>
    <row r="15" spans="2:12">
      <c r="B15" s="23">
        <v>3</v>
      </c>
      <c r="C15" s="9">
        <v>14.91</v>
      </c>
      <c r="D15" s="25">
        <v>4</v>
      </c>
      <c r="E15" s="10">
        <v>5.8000000000000007</v>
      </c>
      <c r="F15" s="2">
        <f t="shared" si="1"/>
        <v>0</v>
      </c>
      <c r="G15" s="7">
        <f t="shared" si="2"/>
        <v>0.28420900766037249</v>
      </c>
      <c r="H15" s="7">
        <f t="shared" si="0"/>
        <v>0.71579099233962751</v>
      </c>
    </row>
    <row r="16" spans="2:12">
      <c r="B16" s="23">
        <v>2</v>
      </c>
      <c r="C16" s="9">
        <v>12.82</v>
      </c>
      <c r="D16" s="25">
        <v>5</v>
      </c>
      <c r="E16" s="10">
        <v>3.4899999999999998</v>
      </c>
      <c r="F16" s="2">
        <f t="shared" si="1"/>
        <v>1</v>
      </c>
      <c r="G16" s="7">
        <f t="shared" si="2"/>
        <v>0.33417475599047847</v>
      </c>
      <c r="H16" s="7">
        <f t="shared" si="0"/>
        <v>0.33417475599047847</v>
      </c>
    </row>
    <row r="17" spans="2:8">
      <c r="B17" s="23">
        <v>9</v>
      </c>
      <c r="C17" s="9">
        <v>13.82</v>
      </c>
      <c r="D17" s="25">
        <v>6</v>
      </c>
      <c r="E17" s="10">
        <v>8.3099999999999987</v>
      </c>
      <c r="F17" s="2">
        <f t="shared" si="1"/>
        <v>0</v>
      </c>
      <c r="G17" s="7">
        <f t="shared" si="2"/>
        <v>0.3907931797116348</v>
      </c>
      <c r="H17" s="7">
        <f t="shared" si="0"/>
        <v>0.60920682028836515</v>
      </c>
    </row>
    <row r="18" spans="2:8">
      <c r="B18" s="23">
        <v>3</v>
      </c>
      <c r="C18" s="9">
        <v>18.55</v>
      </c>
      <c r="D18" s="25">
        <v>8</v>
      </c>
      <c r="E18" s="10">
        <v>3.51</v>
      </c>
      <c r="F18" s="2">
        <f t="shared" si="1"/>
        <v>1</v>
      </c>
      <c r="G18" s="7">
        <f t="shared" si="2"/>
        <v>0.51413807916071264</v>
      </c>
      <c r="H18" s="7">
        <f t="shared" si="0"/>
        <v>0.51413807916071264</v>
      </c>
    </row>
    <row r="19" spans="2:8">
      <c r="B19" s="23">
        <v>7</v>
      </c>
      <c r="C19" s="9">
        <v>10</v>
      </c>
      <c r="D19" s="25">
        <v>6</v>
      </c>
      <c r="E19" s="10">
        <v>7.1199999999999992</v>
      </c>
      <c r="F19" s="2">
        <f t="shared" si="1"/>
        <v>0</v>
      </c>
      <c r="G19" s="7">
        <f t="shared" si="2"/>
        <v>0.38754038361303494</v>
      </c>
      <c r="H19" s="7">
        <f t="shared" si="0"/>
        <v>0.61245961638696511</v>
      </c>
    </row>
    <row r="20" spans="2:8">
      <c r="B20" s="23">
        <v>3</v>
      </c>
      <c r="C20" s="9">
        <v>16.27</v>
      </c>
      <c r="D20" s="25">
        <v>6</v>
      </c>
      <c r="E20" s="10">
        <v>3.42</v>
      </c>
      <c r="F20" s="2">
        <f t="shared" si="1"/>
        <v>1</v>
      </c>
      <c r="G20" s="7">
        <f t="shared" si="2"/>
        <v>0.39288453814270657</v>
      </c>
      <c r="H20" s="7">
        <f t="shared" si="0"/>
        <v>0.39288453814270657</v>
      </c>
    </row>
    <row r="21" spans="2:8">
      <c r="B21" s="23">
        <v>7</v>
      </c>
      <c r="C21" s="9">
        <v>10.64</v>
      </c>
      <c r="D21" s="25">
        <v>6</v>
      </c>
      <c r="E21" s="10">
        <v>3.76</v>
      </c>
      <c r="F21" s="2">
        <f t="shared" si="1"/>
        <v>1</v>
      </c>
      <c r="G21" s="7">
        <f t="shared" si="2"/>
        <v>0.38808466464764596</v>
      </c>
      <c r="H21" s="7">
        <f t="shared" si="0"/>
        <v>0.38808466464764596</v>
      </c>
    </row>
    <row r="22" spans="2:8">
      <c r="B22" s="23">
        <v>1</v>
      </c>
      <c r="C22" s="9">
        <v>11.55</v>
      </c>
      <c r="D22" s="25">
        <v>6</v>
      </c>
      <c r="E22" s="10">
        <v>3.68</v>
      </c>
      <c r="F22" s="2">
        <f t="shared" si="1"/>
        <v>1</v>
      </c>
      <c r="G22" s="7">
        <f t="shared" si="2"/>
        <v>0.38885904495924406</v>
      </c>
      <c r="H22" s="7">
        <f t="shared" si="0"/>
        <v>0.38885904495924406</v>
      </c>
    </row>
    <row r="23" spans="2:8">
      <c r="B23" s="23">
        <v>4</v>
      </c>
      <c r="C23" s="9">
        <v>14.91</v>
      </c>
      <c r="D23" s="25">
        <v>6</v>
      </c>
      <c r="E23" s="10">
        <v>5.1800000000000006</v>
      </c>
      <c r="F23" s="2">
        <f t="shared" si="1"/>
        <v>0</v>
      </c>
      <c r="G23" s="7">
        <f t="shared" si="2"/>
        <v>0.39172313038023188</v>
      </c>
      <c r="H23" s="7">
        <f t="shared" si="0"/>
        <v>0.60827686961976812</v>
      </c>
    </row>
    <row r="24" spans="2:8">
      <c r="B24" s="23">
        <v>2</v>
      </c>
      <c r="C24" s="9">
        <v>18.36</v>
      </c>
      <c r="D24" s="25">
        <v>6</v>
      </c>
      <c r="E24" s="10">
        <v>3.6</v>
      </c>
      <c r="F24" s="2">
        <f t="shared" si="1"/>
        <v>1</v>
      </c>
      <c r="G24" s="7">
        <f t="shared" si="2"/>
        <v>0.39467170833140547</v>
      </c>
      <c r="H24" s="7">
        <f t="shared" si="0"/>
        <v>0.39467170833140547</v>
      </c>
    </row>
    <row r="25" spans="2:8">
      <c r="B25" s="23">
        <v>5</v>
      </c>
      <c r="C25" s="9">
        <v>15.18</v>
      </c>
      <c r="D25" s="25">
        <v>8</v>
      </c>
      <c r="E25" s="10">
        <v>5.48</v>
      </c>
      <c r="F25" s="2">
        <f t="shared" si="1"/>
        <v>0</v>
      </c>
      <c r="G25" s="7">
        <f t="shared" si="2"/>
        <v>0.51112209956819221</v>
      </c>
      <c r="H25" s="7">
        <f t="shared" si="0"/>
        <v>0.48887790043180779</v>
      </c>
    </row>
    <row r="26" spans="2:8">
      <c r="B26" s="23">
        <v>3</v>
      </c>
      <c r="C26" s="9">
        <v>16</v>
      </c>
      <c r="D26" s="25">
        <v>4</v>
      </c>
      <c r="E26" s="10">
        <v>4.3499999999999996</v>
      </c>
      <c r="F26" s="2">
        <f t="shared" si="1"/>
        <v>1</v>
      </c>
      <c r="G26" s="7">
        <f t="shared" si="2"/>
        <v>0.285003981970471</v>
      </c>
      <c r="H26" s="7">
        <f t="shared" si="0"/>
        <v>0.285003981970471</v>
      </c>
    </row>
    <row r="27" spans="2:8">
      <c r="B27" s="23">
        <v>7</v>
      </c>
      <c r="C27" s="9">
        <v>18.09</v>
      </c>
      <c r="D27" s="25">
        <v>8</v>
      </c>
      <c r="E27" s="10">
        <v>7.72</v>
      </c>
      <c r="F27" s="2">
        <f t="shared" si="1"/>
        <v>0</v>
      </c>
      <c r="G27" s="7">
        <f t="shared" si="2"/>
        <v>0.51372645818661222</v>
      </c>
      <c r="H27" s="7">
        <f t="shared" si="0"/>
        <v>0.48627354181338778</v>
      </c>
    </row>
    <row r="28" spans="2:8">
      <c r="B28" s="23">
        <v>4</v>
      </c>
      <c r="C28" s="9">
        <v>17.09</v>
      </c>
      <c r="D28" s="25">
        <v>6</v>
      </c>
      <c r="E28" s="10">
        <v>3.62</v>
      </c>
      <c r="F28" s="2">
        <f t="shared" si="1"/>
        <v>1</v>
      </c>
      <c r="G28" s="7">
        <f t="shared" si="2"/>
        <v>0.39358538551165534</v>
      </c>
      <c r="H28" s="7">
        <f t="shared" si="0"/>
        <v>0.39358538551165534</v>
      </c>
    </row>
    <row r="29" spans="2:8">
      <c r="B29" s="23">
        <v>2</v>
      </c>
      <c r="C29" s="9">
        <v>14.82</v>
      </c>
      <c r="D29" s="25">
        <v>6</v>
      </c>
      <c r="E29" s="10">
        <v>5.78</v>
      </c>
      <c r="F29" s="2">
        <f t="shared" si="1"/>
        <v>0</v>
      </c>
      <c r="G29" s="7">
        <f t="shared" si="2"/>
        <v>0.39164631558515972</v>
      </c>
      <c r="H29" s="7">
        <f t="shared" si="0"/>
        <v>0.60835368441484028</v>
      </c>
    </row>
    <row r="30" spans="2:8">
      <c r="B30" s="23">
        <v>7</v>
      </c>
      <c r="C30" s="9">
        <v>13.82</v>
      </c>
      <c r="D30" s="25">
        <v>6</v>
      </c>
      <c r="E30" s="10">
        <v>6.54</v>
      </c>
      <c r="F30" s="2">
        <f t="shared" si="1"/>
        <v>0</v>
      </c>
      <c r="G30" s="7">
        <f t="shared" si="2"/>
        <v>0.3907931797116348</v>
      </c>
      <c r="H30" s="7">
        <f t="shared" si="0"/>
        <v>0.60920682028836515</v>
      </c>
    </row>
    <row r="31" spans="2:8">
      <c r="B31" s="23">
        <v>5</v>
      </c>
      <c r="C31" s="9">
        <v>17.55</v>
      </c>
      <c r="D31" s="25">
        <v>5</v>
      </c>
      <c r="E31" s="10">
        <v>4.92</v>
      </c>
      <c r="F31" s="2">
        <f t="shared" si="1"/>
        <v>0</v>
      </c>
      <c r="G31" s="7">
        <f t="shared" si="2"/>
        <v>0.3379552064689188</v>
      </c>
      <c r="H31" s="7">
        <f t="shared" si="0"/>
        <v>0.66204479353108114</v>
      </c>
    </row>
    <row r="32" spans="2:8">
      <c r="B32" s="23">
        <v>7</v>
      </c>
      <c r="C32" s="9">
        <v>15.18</v>
      </c>
      <c r="D32" s="25">
        <v>6</v>
      </c>
      <c r="E32" s="10">
        <v>6.65</v>
      </c>
      <c r="F32" s="2">
        <f t="shared" si="1"/>
        <v>0</v>
      </c>
      <c r="G32" s="7">
        <f t="shared" si="2"/>
        <v>0.3919536069295344</v>
      </c>
      <c r="H32" s="7">
        <f t="shared" si="0"/>
        <v>0.6080463930704656</v>
      </c>
    </row>
    <row r="33" spans="2:8">
      <c r="B33" s="23">
        <v>2</v>
      </c>
      <c r="C33" s="9">
        <v>18.91</v>
      </c>
      <c r="D33" s="25">
        <v>4</v>
      </c>
      <c r="E33" s="10">
        <v>6.19</v>
      </c>
      <c r="F33" s="2">
        <f t="shared" si="1"/>
        <v>0</v>
      </c>
      <c r="G33" s="7">
        <f t="shared" si="2"/>
        <v>0.28713288067720133</v>
      </c>
      <c r="H33" s="7">
        <f t="shared" si="0"/>
        <v>0.71286711932279867</v>
      </c>
    </row>
    <row r="34" spans="2:8">
      <c r="B34" s="23">
        <v>4</v>
      </c>
      <c r="C34" s="9">
        <v>17.64</v>
      </c>
      <c r="D34" s="25">
        <v>5</v>
      </c>
      <c r="E34" s="10">
        <v>5.16</v>
      </c>
      <c r="F34" s="2">
        <f t="shared" si="1"/>
        <v>0</v>
      </c>
      <c r="G34" s="7">
        <f t="shared" si="2"/>
        <v>0.33802734191504635</v>
      </c>
      <c r="H34" s="7">
        <f t="shared" si="0"/>
        <v>0.66197265808495365</v>
      </c>
    </row>
    <row r="35" spans="2:8">
      <c r="B35" s="23">
        <v>7</v>
      </c>
      <c r="C35" s="9">
        <v>14.73</v>
      </c>
      <c r="D35" s="25">
        <v>5</v>
      </c>
      <c r="E35" s="10">
        <v>7.9700000000000006</v>
      </c>
      <c r="F35" s="2">
        <f t="shared" si="1"/>
        <v>0</v>
      </c>
      <c r="G35" s="7">
        <f t="shared" si="2"/>
        <v>0.33569879325075797</v>
      </c>
      <c r="H35" s="7">
        <f t="shared" si="0"/>
        <v>0.66430120674924198</v>
      </c>
    </row>
    <row r="36" spans="2:8">
      <c r="B36" s="23">
        <v>3</v>
      </c>
      <c r="C36" s="9">
        <v>21</v>
      </c>
      <c r="D36" s="25">
        <v>8</v>
      </c>
      <c r="E36" s="10">
        <v>4.01</v>
      </c>
      <c r="F36" s="2">
        <f t="shared" si="1"/>
        <v>1</v>
      </c>
      <c r="G36" s="7">
        <f t="shared" si="2"/>
        <v>0.51633007163873146</v>
      </c>
      <c r="H36" s="7">
        <f t="shared" si="0"/>
        <v>0.51633007163873146</v>
      </c>
    </row>
    <row r="37" spans="2:8">
      <c r="B37" s="23">
        <v>6</v>
      </c>
      <c r="C37" s="9">
        <v>13.18</v>
      </c>
      <c r="D37" s="25">
        <v>7</v>
      </c>
      <c r="E37" s="10">
        <v>4.1099999999999994</v>
      </c>
      <c r="F37" s="2">
        <f t="shared" si="1"/>
        <v>1</v>
      </c>
      <c r="G37" s="7">
        <f t="shared" si="2"/>
        <v>0.44905980988158373</v>
      </c>
      <c r="H37" s="7">
        <f t="shared" si="0"/>
        <v>0.44905980988158373</v>
      </c>
    </row>
    <row r="38" spans="2:8">
      <c r="B38" s="23">
        <v>5</v>
      </c>
      <c r="C38" s="9">
        <v>17</v>
      </c>
      <c r="D38" s="25">
        <v>8</v>
      </c>
      <c r="E38" s="10">
        <v>5.75</v>
      </c>
      <c r="F38" s="2">
        <f t="shared" si="1"/>
        <v>0</v>
      </c>
      <c r="G38" s="7">
        <f t="shared" si="2"/>
        <v>0.51275102212322532</v>
      </c>
      <c r="H38" s="7">
        <f t="shared" si="0"/>
        <v>0.48724897787677468</v>
      </c>
    </row>
    <row r="39" spans="2:8">
      <c r="D39" s="2"/>
      <c r="F39" s="7"/>
    </row>
    <row r="41" spans="2:8">
      <c r="C41" s="8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Charts</vt:lpstr>
      </vt:variant>
      <vt:variant>
        <vt:i4>3</vt:i4>
      </vt:variant>
    </vt:vector>
  </HeadingPairs>
  <TitlesOfParts>
    <vt:vector size="15" baseType="lpstr">
      <vt:lpstr>LinReg</vt:lpstr>
      <vt:lpstr>Example</vt:lpstr>
      <vt:lpstr>Example-Solver</vt:lpstr>
      <vt:lpstr>Example-Base</vt:lpstr>
      <vt:lpstr>InClass No Relationship Case</vt:lpstr>
      <vt:lpstr>InClass</vt:lpstr>
      <vt:lpstr>InClass-Solver</vt:lpstr>
      <vt:lpstr>InClass2-Solver</vt:lpstr>
      <vt:lpstr>InClass3-Solver</vt:lpstr>
      <vt:lpstr>InClass-Solver-Null</vt:lpstr>
      <vt:lpstr>InClass3-Solver-NoW</vt:lpstr>
      <vt:lpstr>InClass3-Solver-NoC</vt:lpstr>
      <vt:lpstr>RawData</vt:lpstr>
      <vt:lpstr>Linear Regression</vt:lpstr>
      <vt:lpstr>Logistic Regression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Wright</dc:creator>
  <cp:lastModifiedBy>Windows User</cp:lastModifiedBy>
  <dcterms:created xsi:type="dcterms:W3CDTF">2015-09-13T22:44:59Z</dcterms:created>
  <dcterms:modified xsi:type="dcterms:W3CDTF">2017-09-02T18:14:54Z</dcterms:modified>
</cp:coreProperties>
</file>